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 analytics\Course\Excel\"/>
    </mc:Choice>
  </mc:AlternateContent>
  <xr:revisionPtr revIDLastSave="0" documentId="13_ncr:1_{4CBCCE28-0DE1-4448-AE13-6B4B7CAAA365}" xr6:coauthVersionLast="47" xr6:coauthVersionMax="47" xr10:uidLastSave="{00000000-0000-0000-0000-000000000000}"/>
  <bookViews>
    <workbookView xWindow="-105" yWindow="0" windowWidth="14610" windowHeight="16305" xr2:uid="{01C77B05-5D6F-46E5-91D6-74785E2E7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24" i="1"/>
  <c r="K24" i="1"/>
  <c r="I23" i="1"/>
  <c r="J23" i="1"/>
  <c r="K23" i="1"/>
  <c r="I22" i="1"/>
  <c r="J22" i="1"/>
  <c r="K22" i="1"/>
  <c r="H24" i="1"/>
  <c r="H23" i="1"/>
  <c r="H22" i="1"/>
  <c r="D24" i="1"/>
  <c r="E24" i="1"/>
  <c r="F24" i="1"/>
  <c r="D23" i="1"/>
  <c r="E23" i="1"/>
  <c r="F23" i="1"/>
  <c r="D22" i="1"/>
  <c r="E22" i="1"/>
  <c r="F22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K4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<sst xmlns="http://schemas.openxmlformats.org/spreadsheetml/2006/main" count="50" uniqueCount="46">
  <si>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Last name</t>
  </si>
  <si>
    <t>First Name</t>
  </si>
  <si>
    <t>Arjun</t>
  </si>
  <si>
    <t>Sangole</t>
  </si>
  <si>
    <t>Ram</t>
  </si>
  <si>
    <t>Navghade</t>
  </si>
  <si>
    <t>Mohit</t>
  </si>
  <si>
    <t>Agrawal</t>
  </si>
  <si>
    <t>Sajid</t>
  </si>
  <si>
    <t>Saiyyad</t>
  </si>
  <si>
    <t>Bhavesh</t>
  </si>
  <si>
    <t>Nimkar</t>
  </si>
  <si>
    <t>Nikhil</t>
  </si>
  <si>
    <t>Sagre</t>
  </si>
  <si>
    <t>Ajay</t>
  </si>
  <si>
    <t>Moon</t>
  </si>
  <si>
    <t>Sahil</t>
  </si>
  <si>
    <t>Ramteke</t>
  </si>
  <si>
    <t>Preet</t>
  </si>
  <si>
    <t>Sathe</t>
  </si>
  <si>
    <t>Mayank</t>
  </si>
  <si>
    <t>Lodhe</t>
  </si>
  <si>
    <t>Yash</t>
  </si>
  <si>
    <t>Singh</t>
  </si>
  <si>
    <t>Sujit</t>
  </si>
  <si>
    <t>Modi</t>
  </si>
  <si>
    <t>Tanmay</t>
  </si>
  <si>
    <t>Malak</t>
  </si>
  <si>
    <t>Rajesh</t>
  </si>
  <si>
    <t>Seth</t>
  </si>
  <si>
    <t>Vishal</t>
  </si>
  <si>
    <t>Chalak</t>
  </si>
  <si>
    <t>Tushar</t>
  </si>
  <si>
    <t>Naare</t>
  </si>
  <si>
    <t>Rohit</t>
  </si>
  <si>
    <t>Jarko</t>
  </si>
  <si>
    <t>Gradebook</t>
  </si>
  <si>
    <t>Safety Test</t>
  </si>
  <si>
    <t>Company Pholosophy Test</t>
  </si>
  <si>
    <t>Financial Skills Test</t>
  </si>
  <si>
    <t>Drug Test</t>
  </si>
  <si>
    <t>Points Possible</t>
  </si>
  <si>
    <t>Fire Employee 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</si>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</sst>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Arjun</c:v>
                </c:pt>
                <c:pt idx="1">
                  <c:v>Ram</c:v>
                </c:pt>
                <c:pt idx="2">
                  <c:v>Mohit</c:v>
                </c:pt>
                <c:pt idx="3">
                  <c:v>Sajid</c:v>
                </c:pt>
                <c:pt idx="4">
                  <c:v>Bhavesh</c:v>
                </c:pt>
                <c:pt idx="5">
                  <c:v>Nikhil</c:v>
                </c:pt>
                <c:pt idx="6">
                  <c:v>Ajay</c:v>
                </c:pt>
                <c:pt idx="7">
                  <c:v>Sahil</c:v>
                </c:pt>
                <c:pt idx="8">
                  <c:v>Preet</c:v>
                </c:pt>
                <c:pt idx="9">
                  <c:v>Mayank</c:v>
                </c:pt>
                <c:pt idx="10">
                  <c:v>Yash</c:v>
                </c:pt>
                <c:pt idx="11">
                  <c:v>Sujit</c:v>
                </c:pt>
                <c:pt idx="12">
                  <c:v>Tanmay</c:v>
                </c:pt>
                <c:pt idx="13">
                  <c:v>Rajesh</c:v>
                </c:pt>
                <c:pt idx="14">
                  <c:v>Vishal</c:v>
                </c:pt>
                <c:pt idx="15">
                  <c:v>Tushar</c:v>
                </c:pt>
                <c:pt idx="16">
                  <c:v>Rohit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9-402A-819D-8B3DDD5E6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103615"/>
        <c:axId val="1645102175"/>
      </c:barChart>
      <c:catAx>
        <c:axId val="164510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02175"/>
        <c:crosses val="autoZero"/>
        <c:auto val="1"/>
        <c:lblAlgn val="ctr"/>
        <c:lblOffset val="100"/>
        <c:noMultiLvlLbl val="0"/>
      </c:catAx>
      <c:valAx>
        <c:axId val="16451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0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Arjun</c:v>
                </c:pt>
                <c:pt idx="1">
                  <c:v>Ram</c:v>
                </c:pt>
                <c:pt idx="2">
                  <c:v>Mohit</c:v>
                </c:pt>
                <c:pt idx="3">
                  <c:v>Sajid</c:v>
                </c:pt>
                <c:pt idx="4">
                  <c:v>Bhavesh</c:v>
                </c:pt>
                <c:pt idx="5">
                  <c:v>Nikhil</c:v>
                </c:pt>
                <c:pt idx="6">
                  <c:v>Ajay</c:v>
                </c:pt>
                <c:pt idx="7">
                  <c:v>Sahil</c:v>
                </c:pt>
                <c:pt idx="8">
                  <c:v>Preet</c:v>
                </c:pt>
                <c:pt idx="9">
                  <c:v>Mayank</c:v>
                </c:pt>
                <c:pt idx="10">
                  <c:v>Yash</c:v>
                </c:pt>
                <c:pt idx="11">
                  <c:v>Sujit</c:v>
                </c:pt>
                <c:pt idx="12">
                  <c:v>Tanmay</c:v>
                </c:pt>
                <c:pt idx="13">
                  <c:v>Rajesh</c:v>
                </c:pt>
                <c:pt idx="14">
                  <c:v>Vishal</c:v>
                </c:pt>
                <c:pt idx="15">
                  <c:v>Tushar</c:v>
                </c:pt>
                <c:pt idx="16">
                  <c:v>Rohit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1-4211-9721-6ADDD0E52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307919"/>
        <c:axId val="1635305519"/>
      </c:barChart>
      <c:catAx>
        <c:axId val="163530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05519"/>
        <c:crosses val="autoZero"/>
        <c:auto val="1"/>
        <c:lblAlgn val="ctr"/>
        <c:lblOffset val="100"/>
        <c:noMultiLvlLbl val="0"/>
      </c:catAx>
      <c:valAx>
        <c:axId val="16353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0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Arjun</c:v>
                </c:pt>
                <c:pt idx="1">
                  <c:v>Ram</c:v>
                </c:pt>
                <c:pt idx="2">
                  <c:v>Mohit</c:v>
                </c:pt>
                <c:pt idx="3">
                  <c:v>Sajid</c:v>
                </c:pt>
                <c:pt idx="4">
                  <c:v>Bhavesh</c:v>
                </c:pt>
                <c:pt idx="5">
                  <c:v>Nikhil</c:v>
                </c:pt>
                <c:pt idx="6">
                  <c:v>Ajay</c:v>
                </c:pt>
                <c:pt idx="7">
                  <c:v>Sahil</c:v>
                </c:pt>
                <c:pt idx="8">
                  <c:v>Preet</c:v>
                </c:pt>
                <c:pt idx="9">
                  <c:v>Mayank</c:v>
                </c:pt>
                <c:pt idx="10">
                  <c:v>Yash</c:v>
                </c:pt>
                <c:pt idx="11">
                  <c:v>Sujit</c:v>
                </c:pt>
                <c:pt idx="12">
                  <c:v>Tanmay</c:v>
                </c:pt>
                <c:pt idx="13">
                  <c:v>Rajesh</c:v>
                </c:pt>
                <c:pt idx="14">
                  <c:v>Vishal</c:v>
                </c:pt>
                <c:pt idx="15">
                  <c:v>Tushar</c:v>
                </c:pt>
                <c:pt idx="16">
                  <c:v>Rohit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A-4E1B-9C50-A487E5885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918943"/>
        <c:axId val="1635307439"/>
      </c:barChart>
      <c:catAx>
        <c:axId val="181791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07439"/>
        <c:crosses val="autoZero"/>
        <c:auto val="1"/>
        <c:lblAlgn val="ctr"/>
        <c:lblOffset val="100"/>
        <c:noMultiLvlLbl val="0"/>
      </c:catAx>
      <c:valAx>
        <c:axId val="163530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1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1</xdr:row>
      <xdr:rowOff>4762</xdr:rowOff>
    </xdr:from>
    <xdr:to>
      <xdr:col>20</xdr:col>
      <xdr:colOff>381000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29AED-8C25-F50D-5D19-9EC8DA833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89296</xdr:colOff>
      <xdr:row>16</xdr:row>
      <xdr:rowOff>3571</xdr:rowOff>
    </xdr:from>
    <xdr:to>
      <xdr:col>20</xdr:col>
      <xdr:colOff>410765</xdr:colOff>
      <xdr:row>30</xdr:row>
      <xdr:rowOff>79771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8989A3-8AF0-F3DA-6877-26EB4F0DA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77390</xdr:colOff>
      <xdr:row>31</xdr:row>
      <xdr:rowOff>98821</xdr:rowOff>
    </xdr:from>
    <xdr:to>
      <xdr:col>20</xdr:col>
      <xdr:colOff>398859</xdr:colOff>
      <xdr:row>45</xdr:row>
      <xdr:rowOff>175021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7349C7-A11A-DFCF-3E54-B4C90E259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80AB-D491-407E-BFD6-B8A6AA34237E}">
  <dimension ref="A1:M24"/>
  <sheetViews>
    <sheetView tabSelected="1" zoomScale="80" zoomScaleNormal="80" workbookViewId="0">
      <selection activeCell="C32" sqref="C32"/>
    </sheetView>
  </sheetViews>
  <sheetFormatPr defaultRowHeight="15" x14ac:dyDescent="0.25"/>
  <cols>
    <col min="1" max="1" width="12" bestFit="1" customWidth="1"/>
    <col min="2" max="2" width="16.42578125" bestFit="1" customWidth="1"/>
    <col min="3" max="3" width="5.5703125" bestFit="1" customWidth="1"/>
    <col min="4" max="4" width="6" bestFit="1" customWidth="1"/>
    <col min="5" max="5" width="6.5703125" bestFit="1" customWidth="1"/>
    <col min="6" max="6" width="5" bestFit="1" customWidth="1"/>
    <col min="8" max="11" width="6" bestFit="1" customWidth="1"/>
    <col min="13" max="13" width="6.5703125" bestFit="1" customWidth="1"/>
  </cols>
  <sheetData>
    <row r="1" spans="1:13" ht="129.75" x14ac:dyDescent="0.25">
      <c r="A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42</v>
      </c>
    </row>
    <row r="2" spans="1:13" x14ac:dyDescent="0.2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0</v>
      </c>
      <c r="B3" t="s">
        <v>1</v>
      </c>
    </row>
    <row r="4" spans="1:13" x14ac:dyDescent="0.25">
      <c r="A4" t="s">
        <v>2</v>
      </c>
      <c r="B4" t="s">
        <v>3</v>
      </c>
      <c r="C4">
        <v>10</v>
      </c>
      <c r="D4">
        <v>19</v>
      </c>
      <c r="E4">
        <v>93</v>
      </c>
      <c r="F4">
        <v>1</v>
      </c>
      <c r="H4" s="2">
        <f>C4/$C$2</f>
        <v>1</v>
      </c>
      <c r="I4" s="2">
        <f>D4/$D$2</f>
        <v>0.95</v>
      </c>
      <c r="J4" s="2">
        <f>E4/$E$2</f>
        <v>0.93</v>
      </c>
      <c r="K4" s="2">
        <f>F4/$F$2</f>
        <v>1</v>
      </c>
      <c r="M4" t="b">
        <f>OR(H4&lt;0.5,I4&lt;0.5,J4&lt;0.5,K4&lt;0.5)</f>
        <v>0</v>
      </c>
    </row>
    <row r="5" spans="1:13" x14ac:dyDescent="0.25">
      <c r="A5" t="s">
        <v>4</v>
      </c>
      <c r="B5" t="s">
        <v>5</v>
      </c>
      <c r="C5">
        <v>9</v>
      </c>
      <c r="D5">
        <v>20</v>
      </c>
      <c r="E5">
        <v>100</v>
      </c>
      <c r="F5">
        <v>1</v>
      </c>
      <c r="H5" s="2">
        <f t="shared" ref="H5:H20" si="0">C5/$C$2</f>
        <v>0.9</v>
      </c>
      <c r="I5" s="2">
        <f t="shared" ref="I5:I20" si="1">D5/$D$2</f>
        <v>1</v>
      </c>
      <c r="J5" s="2">
        <f t="shared" ref="J5:J20" si="2">E5/$E$2</f>
        <v>1</v>
      </c>
      <c r="K5" s="2">
        <f t="shared" ref="K5:K20" si="3">F5/$F$2</f>
        <v>1</v>
      </c>
      <c r="M5" t="b">
        <f t="shared" ref="M5:M20" si="4">OR(H5&lt;0.5,I5&lt;0.5,J5&lt;0.5,K5&lt;0.5)</f>
        <v>0</v>
      </c>
    </row>
    <row r="6" spans="1:13" x14ac:dyDescent="0.25">
      <c r="A6" t="s">
        <v>6</v>
      </c>
      <c r="B6" t="s">
        <v>7</v>
      </c>
      <c r="C6">
        <v>8</v>
      </c>
      <c r="D6">
        <v>17</v>
      </c>
      <c r="E6">
        <v>82</v>
      </c>
      <c r="F6">
        <v>1</v>
      </c>
      <c r="H6" s="2">
        <f t="shared" si="0"/>
        <v>0.8</v>
      </c>
      <c r="I6" s="2">
        <f t="shared" si="1"/>
        <v>0.85</v>
      </c>
      <c r="J6" s="2">
        <f t="shared" si="2"/>
        <v>0.82</v>
      </c>
      <c r="K6" s="2">
        <f t="shared" si="3"/>
        <v>1</v>
      </c>
      <c r="M6" t="b">
        <f t="shared" si="4"/>
        <v>0</v>
      </c>
    </row>
    <row r="7" spans="1:13" x14ac:dyDescent="0.25">
      <c r="A7" t="s">
        <v>8</v>
      </c>
      <c r="B7" t="s">
        <v>9</v>
      </c>
      <c r="C7">
        <v>9</v>
      </c>
      <c r="D7">
        <v>10</v>
      </c>
      <c r="E7">
        <v>73</v>
      </c>
      <c r="F7">
        <v>1</v>
      </c>
      <c r="H7" s="2">
        <f t="shared" si="0"/>
        <v>0.9</v>
      </c>
      <c r="I7" s="2">
        <f t="shared" si="1"/>
        <v>0.5</v>
      </c>
      <c r="J7" s="2">
        <f t="shared" si="2"/>
        <v>0.73</v>
      </c>
      <c r="K7" s="2">
        <f t="shared" si="3"/>
        <v>1</v>
      </c>
      <c r="M7" t="b">
        <f t="shared" si="4"/>
        <v>0</v>
      </c>
    </row>
    <row r="8" spans="1:13" x14ac:dyDescent="0.25">
      <c r="A8" t="s">
        <v>10</v>
      </c>
      <c r="B8" t="s">
        <v>11</v>
      </c>
      <c r="C8">
        <v>10</v>
      </c>
      <c r="D8">
        <v>20</v>
      </c>
      <c r="E8">
        <v>59</v>
      </c>
      <c r="F8">
        <v>1</v>
      </c>
      <c r="H8" s="2">
        <f t="shared" si="0"/>
        <v>1</v>
      </c>
      <c r="I8" s="2">
        <f t="shared" si="1"/>
        <v>1</v>
      </c>
      <c r="J8" s="2">
        <f t="shared" si="2"/>
        <v>0.59</v>
      </c>
      <c r="K8" s="2">
        <f t="shared" si="3"/>
        <v>1</v>
      </c>
      <c r="M8" t="b">
        <f t="shared" si="4"/>
        <v>0</v>
      </c>
    </row>
    <row r="9" spans="1:13" x14ac:dyDescent="0.25">
      <c r="A9" t="s">
        <v>12</v>
      </c>
      <c r="B9" t="s">
        <v>13</v>
      </c>
      <c r="C9">
        <v>9</v>
      </c>
      <c r="D9">
        <v>17</v>
      </c>
      <c r="E9">
        <v>100</v>
      </c>
      <c r="F9">
        <v>1</v>
      </c>
      <c r="H9" s="2">
        <f t="shared" si="0"/>
        <v>0.9</v>
      </c>
      <c r="I9" s="2">
        <f t="shared" si="1"/>
        <v>0.85</v>
      </c>
      <c r="J9" s="2">
        <f t="shared" si="2"/>
        <v>1</v>
      </c>
      <c r="K9" s="2">
        <f t="shared" si="3"/>
        <v>1</v>
      </c>
      <c r="M9" t="b">
        <f t="shared" si="4"/>
        <v>0</v>
      </c>
    </row>
    <row r="10" spans="1:13" x14ac:dyDescent="0.25">
      <c r="A10" t="s">
        <v>14</v>
      </c>
      <c r="B10" t="s">
        <v>15</v>
      </c>
      <c r="C10">
        <v>8</v>
      </c>
      <c r="D10">
        <v>20</v>
      </c>
      <c r="E10">
        <v>100</v>
      </c>
      <c r="F10">
        <v>0</v>
      </c>
      <c r="H10" s="2">
        <f t="shared" si="0"/>
        <v>0.8</v>
      </c>
      <c r="I10" s="2">
        <f t="shared" si="1"/>
        <v>1</v>
      </c>
      <c r="J10" s="2">
        <f t="shared" si="2"/>
        <v>1</v>
      </c>
      <c r="K10" s="2">
        <f t="shared" si="3"/>
        <v>0</v>
      </c>
      <c r="M10" t="b">
        <f t="shared" si="4"/>
        <v>1</v>
      </c>
    </row>
    <row r="11" spans="1:13" x14ac:dyDescent="0.25">
      <c r="A11" t="s">
        <v>16</v>
      </c>
      <c r="B11" t="s">
        <v>17</v>
      </c>
      <c r="C11">
        <v>5</v>
      </c>
      <c r="D11">
        <v>6</v>
      </c>
      <c r="E11">
        <v>100</v>
      </c>
      <c r="F11">
        <v>1</v>
      </c>
      <c r="H11" s="2">
        <f t="shared" si="0"/>
        <v>0.5</v>
      </c>
      <c r="I11" s="2">
        <f t="shared" si="1"/>
        <v>0.3</v>
      </c>
      <c r="J11" s="2">
        <f t="shared" si="2"/>
        <v>1</v>
      </c>
      <c r="K11" s="2">
        <f t="shared" si="3"/>
        <v>1</v>
      </c>
      <c r="M11" t="b">
        <f t="shared" si="4"/>
        <v>1</v>
      </c>
    </row>
    <row r="12" spans="1:13" x14ac:dyDescent="0.25">
      <c r="A12" t="s">
        <v>18</v>
      </c>
      <c r="B12" t="s">
        <v>19</v>
      </c>
      <c r="C12">
        <v>10</v>
      </c>
      <c r="D12">
        <v>20</v>
      </c>
      <c r="E12">
        <v>67</v>
      </c>
      <c r="F12">
        <v>1</v>
      </c>
      <c r="H12" s="2">
        <f t="shared" si="0"/>
        <v>1</v>
      </c>
      <c r="I12" s="2">
        <f t="shared" si="1"/>
        <v>1</v>
      </c>
      <c r="J12" s="2">
        <f t="shared" si="2"/>
        <v>0.67</v>
      </c>
      <c r="K12" s="2">
        <f t="shared" si="3"/>
        <v>1</v>
      </c>
      <c r="M12" t="b">
        <f t="shared" si="4"/>
        <v>0</v>
      </c>
    </row>
    <row r="13" spans="1:13" x14ac:dyDescent="0.25">
      <c r="A13" t="s">
        <v>20</v>
      </c>
      <c r="B13" t="s">
        <v>21</v>
      </c>
      <c r="C13">
        <v>9</v>
      </c>
      <c r="D13">
        <v>20</v>
      </c>
      <c r="E13">
        <v>70</v>
      </c>
      <c r="F13">
        <v>1</v>
      </c>
      <c r="H13" s="2">
        <f t="shared" si="0"/>
        <v>0.9</v>
      </c>
      <c r="I13" s="2">
        <f t="shared" si="1"/>
        <v>1</v>
      </c>
      <c r="J13" s="2">
        <f t="shared" si="2"/>
        <v>0.7</v>
      </c>
      <c r="K13" s="2">
        <f t="shared" si="3"/>
        <v>1</v>
      </c>
      <c r="M13" t="b">
        <f t="shared" si="4"/>
        <v>0</v>
      </c>
    </row>
    <row r="14" spans="1:13" x14ac:dyDescent="0.25">
      <c r="A14" t="s">
        <v>22</v>
      </c>
      <c r="B14" t="s">
        <v>23</v>
      </c>
      <c r="C14">
        <v>10</v>
      </c>
      <c r="D14">
        <v>19</v>
      </c>
      <c r="E14">
        <v>80</v>
      </c>
      <c r="F14">
        <v>1</v>
      </c>
      <c r="H14" s="2">
        <f t="shared" si="0"/>
        <v>1</v>
      </c>
      <c r="I14" s="2">
        <f t="shared" si="1"/>
        <v>0.95</v>
      </c>
      <c r="J14" s="2">
        <f t="shared" si="2"/>
        <v>0.8</v>
      </c>
      <c r="K14" s="2">
        <f t="shared" si="3"/>
        <v>1</v>
      </c>
      <c r="M14" t="b">
        <f t="shared" si="4"/>
        <v>0</v>
      </c>
    </row>
    <row r="15" spans="1:13" x14ac:dyDescent="0.25">
      <c r="A15" t="s">
        <v>24</v>
      </c>
      <c r="B15" t="s">
        <v>25</v>
      </c>
      <c r="C15">
        <v>8</v>
      </c>
      <c r="D15">
        <v>17</v>
      </c>
      <c r="E15">
        <v>90</v>
      </c>
      <c r="F15">
        <v>1</v>
      </c>
      <c r="H15" s="2">
        <f t="shared" si="0"/>
        <v>0.8</v>
      </c>
      <c r="I15" s="2">
        <f t="shared" si="1"/>
        <v>0.85</v>
      </c>
      <c r="J15" s="2">
        <f t="shared" si="2"/>
        <v>0.9</v>
      </c>
      <c r="K15" s="2">
        <f t="shared" si="3"/>
        <v>1</v>
      </c>
      <c r="M15" t="b">
        <f t="shared" si="4"/>
        <v>0</v>
      </c>
    </row>
    <row r="16" spans="1:13" x14ac:dyDescent="0.25">
      <c r="A16" t="s">
        <v>26</v>
      </c>
      <c r="B16" t="s">
        <v>27</v>
      </c>
      <c r="C16">
        <v>9</v>
      </c>
      <c r="D16">
        <v>19</v>
      </c>
      <c r="E16">
        <v>45</v>
      </c>
      <c r="F16">
        <v>0</v>
      </c>
      <c r="H16" s="2">
        <f t="shared" si="0"/>
        <v>0.9</v>
      </c>
      <c r="I16" s="2">
        <f t="shared" si="1"/>
        <v>0.95</v>
      </c>
      <c r="J16" s="2">
        <f t="shared" si="2"/>
        <v>0.45</v>
      </c>
      <c r="K16" s="2">
        <f t="shared" si="3"/>
        <v>0</v>
      </c>
      <c r="M16" t="b">
        <f t="shared" si="4"/>
        <v>1</v>
      </c>
    </row>
    <row r="17" spans="1:13" x14ac:dyDescent="0.25">
      <c r="A17" t="s">
        <v>28</v>
      </c>
      <c r="B17" t="s">
        <v>29</v>
      </c>
      <c r="C17">
        <v>7</v>
      </c>
      <c r="D17">
        <v>20</v>
      </c>
      <c r="E17">
        <v>90</v>
      </c>
      <c r="F17">
        <v>1</v>
      </c>
      <c r="H17" s="2">
        <f t="shared" si="0"/>
        <v>0.7</v>
      </c>
      <c r="I17" s="2">
        <f t="shared" si="1"/>
        <v>1</v>
      </c>
      <c r="J17" s="2">
        <f t="shared" si="2"/>
        <v>0.9</v>
      </c>
      <c r="K17" s="2">
        <f t="shared" si="3"/>
        <v>1</v>
      </c>
      <c r="M17" t="b">
        <f t="shared" si="4"/>
        <v>0</v>
      </c>
    </row>
    <row r="18" spans="1:13" x14ac:dyDescent="0.25">
      <c r="A18" t="s">
        <v>30</v>
      </c>
      <c r="B18" t="s">
        <v>31</v>
      </c>
      <c r="C18">
        <v>10</v>
      </c>
      <c r="D18">
        <v>10</v>
      </c>
      <c r="E18">
        <v>80</v>
      </c>
      <c r="F18">
        <v>1</v>
      </c>
      <c r="H18" s="2">
        <f t="shared" si="0"/>
        <v>1</v>
      </c>
      <c r="I18" s="2">
        <f t="shared" si="1"/>
        <v>0.5</v>
      </c>
      <c r="J18" s="2">
        <f t="shared" si="2"/>
        <v>0.8</v>
      </c>
      <c r="K18" s="2">
        <f t="shared" si="3"/>
        <v>1</v>
      </c>
      <c r="M18" t="b">
        <f t="shared" si="4"/>
        <v>0</v>
      </c>
    </row>
    <row r="19" spans="1:13" x14ac:dyDescent="0.25">
      <c r="A19" t="s">
        <v>32</v>
      </c>
      <c r="B19" t="s">
        <v>33</v>
      </c>
      <c r="C19">
        <v>10</v>
      </c>
      <c r="D19">
        <v>20</v>
      </c>
      <c r="E19">
        <v>69</v>
      </c>
      <c r="F19">
        <v>1</v>
      </c>
      <c r="H19" s="2">
        <f t="shared" si="0"/>
        <v>1</v>
      </c>
      <c r="I19" s="2">
        <f t="shared" si="1"/>
        <v>1</v>
      </c>
      <c r="J19" s="2">
        <f t="shared" si="2"/>
        <v>0.69</v>
      </c>
      <c r="K19" s="2">
        <f t="shared" si="3"/>
        <v>1</v>
      </c>
      <c r="M19" t="b">
        <f t="shared" si="4"/>
        <v>0</v>
      </c>
    </row>
    <row r="20" spans="1:13" x14ac:dyDescent="0.25">
      <c r="A20" t="s">
        <v>34</v>
      </c>
      <c r="B20" t="s">
        <v>35</v>
      </c>
      <c r="C20">
        <v>10</v>
      </c>
      <c r="D20">
        <v>14</v>
      </c>
      <c r="E20">
        <v>90</v>
      </c>
      <c r="F20">
        <v>1</v>
      </c>
      <c r="H20" s="2">
        <f t="shared" si="0"/>
        <v>1</v>
      </c>
      <c r="I20" s="2">
        <f t="shared" si="1"/>
        <v>0.7</v>
      </c>
      <c r="J20" s="2">
        <f t="shared" si="2"/>
        <v>0.9</v>
      </c>
      <c r="K20" s="2">
        <f t="shared" si="3"/>
        <v>1</v>
      </c>
      <c r="M20" t="b">
        <f t="shared" si="4"/>
        <v>0</v>
      </c>
    </row>
    <row r="22" spans="1:13" x14ac:dyDescent="0.25">
      <c r="A22" t="s">
        <v>43</v>
      </c>
      <c r="C22">
        <f>MAX(C4:C20)</f>
        <v>10</v>
      </c>
      <c r="D22">
        <f t="shared" ref="D22:F22" si="5">MAX(D4:D20)</f>
        <v>20</v>
      </c>
      <c r="E22">
        <f t="shared" si="5"/>
        <v>100</v>
      </c>
      <c r="F22">
        <f t="shared" si="5"/>
        <v>1</v>
      </c>
      <c r="H22" s="2">
        <f>MAX(H4:H20)</f>
        <v>1</v>
      </c>
      <c r="I22" s="2">
        <f t="shared" ref="I22:K22" si="6">MAX(I4:I20)</f>
        <v>1</v>
      </c>
      <c r="J22" s="2">
        <f t="shared" si="6"/>
        <v>1</v>
      </c>
      <c r="K22" s="2">
        <f t="shared" si="6"/>
        <v>1</v>
      </c>
    </row>
    <row r="23" spans="1:13" x14ac:dyDescent="0.25">
      <c r="A23" t="s">
        <v>44</v>
      </c>
      <c r="C23">
        <f>MIN(C4:C20)</f>
        <v>5</v>
      </c>
      <c r="D23">
        <f t="shared" ref="D23:F23" si="7">MIN(D4:D20)</f>
        <v>6</v>
      </c>
      <c r="E23">
        <f t="shared" si="7"/>
        <v>45</v>
      </c>
      <c r="F23">
        <f t="shared" si="7"/>
        <v>0</v>
      </c>
      <c r="H23" s="2">
        <f>MIN(H4:H20)</f>
        <v>0.5</v>
      </c>
      <c r="I23" s="2">
        <f t="shared" ref="I23:K23" si="8">MIN(I4:I20)</f>
        <v>0.3</v>
      </c>
      <c r="J23" s="2">
        <f t="shared" si="8"/>
        <v>0.45</v>
      </c>
      <c r="K23" s="2">
        <f t="shared" si="8"/>
        <v>0</v>
      </c>
    </row>
    <row r="24" spans="1:13" x14ac:dyDescent="0.25">
      <c r="A24" t="s">
        <v>45</v>
      </c>
      <c r="C24" s="3">
        <f>AVERAGE(C4:C20)</f>
        <v>8.882352941176471</v>
      </c>
      <c r="D24" s="3">
        <f t="shared" ref="D24:F24" si="9">AVERAGE(D4:D20)</f>
        <v>16.941176470588236</v>
      </c>
      <c r="E24" s="3">
        <f t="shared" si="9"/>
        <v>81.647058823529406</v>
      </c>
      <c r="F24" s="3">
        <f t="shared" si="9"/>
        <v>0.88235294117647056</v>
      </c>
      <c r="H24" s="2">
        <f>AVERAGE(H4:H20)</f>
        <v>0.88823529411764701</v>
      </c>
      <c r="I24" s="2">
        <f t="shared" ref="I24:K24" si="10">AVERAGE(I4:I20)</f>
        <v>0.84705882352941153</v>
      </c>
      <c r="J24" s="2">
        <f t="shared" si="10"/>
        <v>0.81647058823529417</v>
      </c>
      <c r="K24" s="2">
        <f t="shared" si="10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Prabuddha Bhalerao</dc:creator>
  <cp:lastModifiedBy>Prabuddha Bhalerao</cp:lastModifiedBy>
  <dcterms:created xsi:type="dcterms:W3CDTF">2026-01-25T18:29:51Z</dcterms:created>
  <dcterms:modified xsi:type="dcterms:W3CDTF">2026-01-25T18:49:47Z</dcterms:modified>
</cp:coreProperties>
</file>