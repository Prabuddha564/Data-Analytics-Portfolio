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P:\Data analytics\Course\Excel\"/>
    </mc:Choice>
  </mc:AlternateContent>
  <xr:revisionPtr revIDLastSave="0" documentId="13_ncr:1_{E88145CB-3514-498E-B587-8D0EBA0ADF59}" xr6:coauthVersionLast="47" xr6:coauthVersionMax="47" xr10:uidLastSave="{00000000-0000-0000-0000-000000000000}"/>
  <bookViews>
    <workbookView xWindow="-105" yWindow="0" windowWidth="15330" windowHeight="16305" firstSheet="7" activeTab="7" xr2:uid="{8144964B-50E6-429E-8756-0038EBD4962A}"/>
  </bookViews>
  <sheets>
    <sheet name="Day 1" sheetId="1" r:id="rId1"/>
    <sheet name="Dat 2" sheetId="2" r:id="rId2"/>
    <sheet name="Sheet2" sheetId="3" r:id="rId3"/>
    <sheet name="Sheet5" sheetId="6" r:id="rId4"/>
    <sheet name="Sheet3" sheetId="4" r:id="rId5"/>
    <sheet name="Sheet4" sheetId="5" r:id="rId6"/>
    <sheet name="Detail1" sheetId="9" r:id="rId7"/>
    <sheet name="Sheet7" sheetId="8" r:id="rId8"/>
    <sheet name="Sheet8" sheetId="10" r:id="rId9"/>
    <sheet name="Sheet6" sheetId="7" r:id="rId10"/>
  </sheets>
  <definedNames>
    <definedName name="_xlnm._FilterDatabase" localSheetId="0" hidden="1">'Day 1'!$A$4:$J$9</definedName>
    <definedName name="_xlnm._FilterDatabase" localSheetId="2" hidden="1">Sheet2!$A$3:$I$17</definedName>
    <definedName name="Slicer_Gender">#N/A</definedName>
    <definedName name="Slicer_House">#N/A</definedName>
  </definedNames>
  <calcPr calcId="191029"/>
  <pivotCaches>
    <pivotCache cacheId="24" r:id="rId1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6" l="1"/>
  <c r="L6" i="6"/>
  <c r="L7" i="6"/>
  <c r="L8" i="6"/>
  <c r="L4" i="6"/>
  <c r="D4" i="2"/>
  <c r="D5" i="2"/>
  <c r="D6" i="2"/>
  <c r="D7" i="2"/>
  <c r="D8" i="2"/>
  <c r="D3" i="2"/>
  <c r="C4" i="2"/>
  <c r="C5" i="2"/>
  <c r="C6" i="2"/>
  <c r="C7" i="2"/>
  <c r="C8" i="2"/>
  <c r="C3" i="2"/>
  <c r="B4" i="2"/>
  <c r="B5" i="2"/>
  <c r="B6" i="2"/>
  <c r="B7" i="2"/>
  <c r="B8" i="2"/>
  <c r="B3" i="2"/>
  <c r="J6" i="1"/>
  <c r="J7" i="1"/>
  <c r="J8" i="1"/>
  <c r="J9" i="1"/>
  <c r="J5" i="1"/>
  <c r="I6" i="1"/>
  <c r="I7" i="1"/>
  <c r="I8" i="1"/>
  <c r="I9" i="1"/>
  <c r="I5" i="1"/>
  <c r="H6" i="1"/>
  <c r="H7" i="1"/>
  <c r="H8" i="1"/>
  <c r="H9" i="1"/>
  <c r="H5" i="1"/>
</calcChain>
</file>

<file path=xl/sharedStrings.xml><?xml version="1.0" encoding="utf-8"?>
<sst xmlns="http://schemas.openxmlformats.org/spreadsheetml/2006/main" count="320" uniqueCount="79">
  <si>
    <t>Sr. No.</t>
  </si>
  <si>
    <t>First Name</t>
  </si>
  <si>
    <t>Last Name</t>
  </si>
  <si>
    <t>DOJ</t>
  </si>
  <si>
    <t>Sal-Feb</t>
  </si>
  <si>
    <t>Sal-Jan</t>
  </si>
  <si>
    <t>Sal-Mar</t>
  </si>
  <si>
    <t>Sal Total</t>
  </si>
  <si>
    <t>Avg Sal</t>
  </si>
  <si>
    <t>Full Name</t>
  </si>
  <si>
    <t>RAM</t>
  </si>
  <si>
    <t>GOPAL</t>
  </si>
  <si>
    <t>JOSEPH</t>
  </si>
  <si>
    <t>HARI</t>
  </si>
  <si>
    <t>RAJA</t>
  </si>
  <si>
    <t>KUMAR</t>
  </si>
  <si>
    <t>VERMA</t>
  </si>
  <si>
    <t>PAUL</t>
  </si>
  <si>
    <t>SINGH</t>
  </si>
  <si>
    <t>Employee Salary Description</t>
  </si>
  <si>
    <t>Numbers</t>
  </si>
  <si>
    <t>Round</t>
  </si>
  <si>
    <t>Round Up</t>
  </si>
  <si>
    <t>Round Down</t>
  </si>
  <si>
    <t>Name</t>
  </si>
  <si>
    <t>Gender</t>
  </si>
  <si>
    <t>Age</t>
  </si>
  <si>
    <t>Class</t>
  </si>
  <si>
    <t>House</t>
  </si>
  <si>
    <t>Unit Test 1</t>
  </si>
  <si>
    <t>Unit Test 2</t>
  </si>
  <si>
    <t>Final Test</t>
  </si>
  <si>
    <t>Email</t>
  </si>
  <si>
    <t>Abhimanyu</t>
  </si>
  <si>
    <t>M</t>
  </si>
  <si>
    <t>Bhoomi</t>
  </si>
  <si>
    <t>Abhimanyu@mail.com</t>
  </si>
  <si>
    <t>Arjun</t>
  </si>
  <si>
    <t>Vayu</t>
  </si>
  <si>
    <t>Arjun@mail.com</t>
  </si>
  <si>
    <t>Champa</t>
  </si>
  <si>
    <t>F</t>
  </si>
  <si>
    <t>Jal</t>
  </si>
  <si>
    <t>Champa@mail.com</t>
  </si>
  <si>
    <t>Gopal</t>
  </si>
  <si>
    <t>Gopal@mail.com</t>
  </si>
  <si>
    <t>Gopi</t>
  </si>
  <si>
    <t>Agni</t>
  </si>
  <si>
    <t>Gopi@mail.com</t>
  </si>
  <si>
    <t>Hari</t>
  </si>
  <si>
    <t>Hari@mail.com</t>
  </si>
  <si>
    <t>Indu</t>
  </si>
  <si>
    <t>Indu@mail.com</t>
  </si>
  <si>
    <t>Keshav</t>
  </si>
  <si>
    <t>Keshav@mail.com</t>
  </si>
  <si>
    <t>Lalita</t>
  </si>
  <si>
    <t>Lalita@mail.com</t>
  </si>
  <si>
    <t>Madhav</t>
  </si>
  <si>
    <t>Madhav@mail.com</t>
  </si>
  <si>
    <t>RNM</t>
  </si>
  <si>
    <t>RNM@mail.com</t>
  </si>
  <si>
    <t>Sudevi</t>
  </si>
  <si>
    <t>Sudevi@mail.com</t>
  </si>
  <si>
    <t>Visakha</t>
  </si>
  <si>
    <t>Visakha@mail.com</t>
  </si>
  <si>
    <t>Vrinda</t>
  </si>
  <si>
    <t>Vrinda@mail.com</t>
  </si>
  <si>
    <t>RNM School Data</t>
  </si>
  <si>
    <t>Pivot table</t>
  </si>
  <si>
    <t>Sam</t>
  </si>
  <si>
    <t>Student1</t>
  </si>
  <si>
    <t>Student8</t>
  </si>
  <si>
    <t>Student2</t>
  </si>
  <si>
    <t>Student4</t>
  </si>
  <si>
    <t>Student5</t>
  </si>
  <si>
    <t>Varun</t>
  </si>
  <si>
    <t>Vidya</t>
  </si>
  <si>
    <t>Sum of Final Test</t>
  </si>
  <si>
    <t>Details for Sum of Final Test - Gender: M, House: Agni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</si>
</sst>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5" formatCode="[$-F800]dddd\,\ mmmm\ dd\,\ yyyy"/>
    <numFmt numFmtId="170" formatCode="0.0000"/>
    <numFmt numFmtId="171" formatCode="0.0000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b/>
      <sz val="18"/>
      <color theme="1"/>
      <name val="Calibri"/>
      <family val="2"/>
      <scheme val="minor"/>
    </font>
    <font>
      <b/>
      <sz val="18"/>
      <color theme="0"/>
      <name val="Calibri"/>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7"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45">
    <xf numFmtId="0" fontId="0" fillId="0" borderId="0" xfId="0"/>
    <xf numFmtId="0" fontId="3" fillId="2" borderId="1" xfId="0" applyFont="1" applyFill="1" applyBorder="1"/>
    <xf numFmtId="0" fontId="3" fillId="2" borderId="1" xfId="0" applyFont="1" applyFill="1" applyBorder="1" applyAlignment="1">
      <alignment horizontal="center"/>
    </xf>
    <xf numFmtId="0" fontId="2" fillId="2" borderId="1" xfId="0" applyFont="1" applyFill="1" applyBorder="1" applyAlignment="1">
      <alignment horizontal="center"/>
    </xf>
    <xf numFmtId="0" fontId="0" fillId="0" borderId="1" xfId="0" applyBorder="1" applyAlignment="1">
      <alignment horizontal="center"/>
    </xf>
    <xf numFmtId="0" fontId="0" fillId="0" borderId="1" xfId="0" applyBorder="1"/>
    <xf numFmtId="165" fontId="0" fillId="0" borderId="1" xfId="0" applyNumberFormat="1" applyBorder="1" applyAlignment="1">
      <alignment horizontal="center"/>
    </xf>
    <xf numFmtId="1" fontId="0" fillId="0" borderId="1" xfId="1" applyNumberFormat="1" applyFont="1" applyBorder="1" applyAlignment="1">
      <alignment horizontal="center"/>
    </xf>
    <xf numFmtId="1" fontId="0" fillId="0" borderId="1" xfId="0" applyNumberFormat="1" applyBorder="1" applyAlignment="1">
      <alignment horizontal="center"/>
    </xf>
    <xf numFmtId="0" fontId="0" fillId="0" borderId="1" xfId="0" applyFill="1" applyBorder="1" applyAlignment="1">
      <alignment horizont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170" fontId="0" fillId="0" borderId="0" xfId="0" applyNumberFormat="1"/>
    <xf numFmtId="171" fontId="0" fillId="0" borderId="0" xfId="0" applyNumberFormat="1"/>
    <xf numFmtId="0" fontId="0" fillId="0" borderId="0" xfId="0"/>
    <xf numFmtId="0" fontId="0" fillId="0" borderId="1" xfId="0" applyBorder="1" applyAlignment="1">
      <alignment horizontal="center" vertical="center"/>
    </xf>
    <xf numFmtId="0" fontId="5" fillId="4" borderId="8" xfId="0" applyFont="1" applyFill="1" applyBorder="1" applyAlignment="1">
      <alignment horizontal="center" vertical="center"/>
    </xf>
    <xf numFmtId="0" fontId="0" fillId="3" borderId="9" xfId="0" applyFill="1" applyBorder="1" applyAlignment="1">
      <alignment horizontal="center" vertical="center"/>
    </xf>
    <xf numFmtId="0" fontId="0" fillId="0" borderId="11" xfId="0" applyBorder="1"/>
    <xf numFmtId="0" fontId="0" fillId="3" borderId="12" xfId="0" applyFill="1" applyBorder="1"/>
    <xf numFmtId="0" fontId="0" fillId="3" borderId="13" xfId="0" applyFill="1" applyBorder="1" applyAlignment="1">
      <alignment horizontal="center" vertical="center"/>
    </xf>
    <xf numFmtId="0" fontId="0" fillId="0" borderId="10" xfId="0" applyBorder="1" applyAlignment="1">
      <alignment horizontal="center" vertical="center"/>
    </xf>
    <xf numFmtId="0" fontId="0" fillId="0" borderId="14" xfId="0" applyBorder="1"/>
    <xf numFmtId="0" fontId="0" fillId="0" borderId="15" xfId="0" applyBorder="1"/>
    <xf numFmtId="0" fontId="0" fillId="0" borderId="16" xfId="0" applyBorder="1"/>
    <xf numFmtId="0" fontId="0" fillId="0" borderId="8" xfId="0" applyBorder="1" applyAlignment="1">
      <alignment horizontal="center" vertical="center"/>
    </xf>
    <xf numFmtId="0" fontId="0" fillId="0" borderId="14" xfId="0" applyBorder="1" applyAlignment="1">
      <alignment horizontal="center" vertical="center"/>
    </xf>
    <xf numFmtId="0" fontId="2" fillId="3" borderId="1" xfId="0" applyFont="1" applyFill="1" applyBorder="1" applyAlignment="1">
      <alignment horizontal="center" vertical="center"/>
    </xf>
    <xf numFmtId="0" fontId="0" fillId="6" borderId="1" xfId="0" applyFont="1" applyFill="1" applyBorder="1" applyAlignment="1">
      <alignment horizontal="center" vertical="center"/>
    </xf>
    <xf numFmtId="0" fontId="0" fillId="5" borderId="1" xfId="0" applyFont="1" applyFill="1" applyBorder="1" applyAlignment="1">
      <alignment horizontal="center" vertical="center"/>
    </xf>
    <xf numFmtId="0" fontId="2" fillId="3" borderId="1" xfId="0" applyFont="1" applyFill="1" applyBorder="1"/>
    <xf numFmtId="0" fontId="0" fillId="6" borderId="1" xfId="0" applyFont="1" applyFill="1" applyBorder="1"/>
    <xf numFmtId="0" fontId="0" fillId="5" borderId="1" xfId="0" applyFont="1" applyFill="1" applyBorder="1"/>
    <xf numFmtId="0" fontId="0" fillId="0" borderId="0" xfId="0"/>
    <xf numFmtId="0" fontId="0" fillId="7" borderId="1" xfId="0" applyFill="1" applyBorder="1"/>
    <xf numFmtId="0" fontId="0" fillId="7" borderId="1" xfId="0" applyFill="1" applyBorder="1" applyAlignment="1">
      <alignment horizontal="center" vertical="center"/>
    </xf>
    <xf numFmtId="0" fontId="2" fillId="7" borderId="1" xfId="0" applyFont="1" applyFill="1" applyBorder="1"/>
    <xf numFmtId="0" fontId="2" fillId="7" borderId="1" xfId="0" applyFont="1" applyFill="1" applyBorder="1" applyAlignment="1">
      <alignment horizontal="center"/>
    </xf>
    <xf numFmtId="0" fontId="0" fillId="0" borderId="0" xfId="0" pivotButton="1"/>
    <xf numFmtId="0" fontId="0" fillId="0" borderId="0" xfId="0" applyNumberFormat="1"/>
    <xf numFmtId="0" fontId="2" fillId="0" borderId="0" xfId="0" applyFont="1"/>
  </cellXfs>
  <cellStyles count="2">
    <cellStyle name="Currency" xfId="1" builtinId="4"/>
    <cellStyle name="Normal" xfId="0" builtinId="0"/>
  </cellStyles>
  <dxfs count="14">
    <dxf>
      <fill>
        <patternFill patternType="solid">
          <fgColor indexed="64"/>
          <bgColor theme="8"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Sheet4!$B$1</c:f>
              <c:strCache>
                <c:ptCount val="1"/>
                <c:pt idx="0">
                  <c:v>Final Test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Sheet4!$A$2:$A$15</c:f>
              <c:strCache>
                <c:ptCount val="14"/>
                <c:pt idx="0">
                  <c:v>Arjun</c:v>
                </c:pt>
                <c:pt idx="1">
                  <c:v>Madhav</c:v>
                </c:pt>
                <c:pt idx="2">
                  <c:v>Vrinda</c:v>
                </c:pt>
                <c:pt idx="3">
                  <c:v>Indu</c:v>
                </c:pt>
                <c:pt idx="4">
                  <c:v>Gopal</c:v>
                </c:pt>
                <c:pt idx="5">
                  <c:v>Keshav</c:v>
                </c:pt>
                <c:pt idx="6">
                  <c:v>Champa</c:v>
                </c:pt>
                <c:pt idx="7">
                  <c:v>Abhimanyu</c:v>
                </c:pt>
                <c:pt idx="8">
                  <c:v>Gopi</c:v>
                </c:pt>
                <c:pt idx="9">
                  <c:v>Sudevi</c:v>
                </c:pt>
                <c:pt idx="10">
                  <c:v>Visakha</c:v>
                </c:pt>
                <c:pt idx="11">
                  <c:v>Hari</c:v>
                </c:pt>
                <c:pt idx="12">
                  <c:v>RNM</c:v>
                </c:pt>
                <c:pt idx="13">
                  <c:v>Lalita</c:v>
                </c:pt>
              </c:strCache>
            </c:strRef>
          </c:cat>
          <c:val>
            <c:numRef>
              <c:f>Sheet4!$B$2:$B$15</c:f>
              <c:numCache>
                <c:formatCode>General</c:formatCode>
                <c:ptCount val="14"/>
                <c:pt idx="0">
                  <c:v>91</c:v>
                </c:pt>
                <c:pt idx="1">
                  <c:v>89</c:v>
                </c:pt>
                <c:pt idx="2">
                  <c:v>98</c:v>
                </c:pt>
                <c:pt idx="3">
                  <c:v>89</c:v>
                </c:pt>
                <c:pt idx="4">
                  <c:v>79</c:v>
                </c:pt>
                <c:pt idx="5">
                  <c:v>96</c:v>
                </c:pt>
                <c:pt idx="6">
                  <c:v>88</c:v>
                </c:pt>
                <c:pt idx="7">
                  <c:v>99</c:v>
                </c:pt>
                <c:pt idx="8">
                  <c:v>96</c:v>
                </c:pt>
                <c:pt idx="9">
                  <c:v>87</c:v>
                </c:pt>
                <c:pt idx="10">
                  <c:v>85</c:v>
                </c:pt>
                <c:pt idx="11">
                  <c:v>80</c:v>
                </c:pt>
                <c:pt idx="12">
                  <c:v>77</c:v>
                </c:pt>
                <c:pt idx="13">
                  <c:v>92</c:v>
                </c:pt>
              </c:numCache>
            </c:numRef>
          </c:val>
          <c:extLst>
            <c:ext xmlns:c16="http://schemas.microsoft.com/office/drawing/2014/chart" uri="{C3380CC4-5D6E-409C-BE32-E72D297353CC}">
              <c16:uniqueId val="{00000000-4FBF-4D75-B540-F0C5768FDF65}"/>
            </c:ext>
          </c:extLst>
        </c:ser>
        <c:dLbls>
          <c:dLblPos val="outEnd"/>
          <c:showLegendKey val="0"/>
          <c:showVal val="1"/>
          <c:showCatName val="0"/>
          <c:showSerName val="0"/>
          <c:showPercent val="0"/>
          <c:showBubbleSize val="0"/>
        </c:dLbls>
        <c:gapWidth val="219"/>
        <c:overlap val="-27"/>
        <c:axId val="506667535"/>
        <c:axId val="506670895"/>
      </c:barChart>
      <c:catAx>
        <c:axId val="50666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Names</a:t>
                </a:r>
              </a:p>
            </c:rich>
          </c:tx>
          <c:layout>
            <c:manualLayout>
              <c:xMode val="edge"/>
              <c:yMode val="edge"/>
              <c:x val="0.44529746281714788"/>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70895"/>
        <c:crosses val="autoZero"/>
        <c:auto val="1"/>
        <c:lblAlgn val="ctr"/>
        <c:lblOffset val="100"/>
        <c:noMultiLvlLbl val="0"/>
      </c:catAx>
      <c:valAx>
        <c:axId val="5066708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6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180975</xdr:colOff>
      <xdr:row>18</xdr:row>
      <xdr:rowOff>123826</xdr:rowOff>
    </xdr:from>
    <xdr:to>
      <xdr:col>3</xdr:col>
      <xdr:colOff>171450</xdr:colOff>
      <xdr:row>23</xdr:row>
      <xdr:rowOff>104776</xdr:rowOff>
    </xdr:to>
    <mc:AlternateContent xmlns:mc="http://schemas.openxmlformats.org/markup-compatibility/2006">
      <mc:Choice xmlns:sle15="http://schemas.microsoft.com/office/drawing/2012/slicer" Requires="sle15">
        <xdr:graphicFrame macro="">
          <xdr:nvGraphicFramePr>
            <xdr:cNvPr id="2" name="Gender">
              <a:extLst>
                <a:ext uri="{FF2B5EF4-FFF2-40B4-BE49-F238E27FC236}">
                  <a16:creationId xmlns:a16="http://schemas.microsoft.com/office/drawing/2014/main" id="{39AA9112-16EE-1A23-291B-A9F1115A027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0975" y="3657601"/>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238125</xdr:colOff>
      <xdr:row>18</xdr:row>
      <xdr:rowOff>142876</xdr:rowOff>
    </xdr:from>
    <xdr:to>
      <xdr:col>6</xdr:col>
      <xdr:colOff>142875</xdr:colOff>
      <xdr:row>26</xdr:row>
      <xdr:rowOff>114300</xdr:rowOff>
    </xdr:to>
    <mc:AlternateContent xmlns:mc="http://schemas.openxmlformats.org/markup-compatibility/2006">
      <mc:Choice xmlns:sle15="http://schemas.microsoft.com/office/drawing/2012/slicer" Requires="sle15">
        <xdr:graphicFrame macro="">
          <xdr:nvGraphicFramePr>
            <xdr:cNvPr id="3" name="House">
              <a:extLst>
                <a:ext uri="{FF2B5EF4-FFF2-40B4-BE49-F238E27FC236}">
                  <a16:creationId xmlns:a16="http://schemas.microsoft.com/office/drawing/2014/main" id="{A71E5465-428F-F776-E661-5AE661C28A16}"/>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dr:sp macro="" textlink="">
          <xdr:nvSpPr>
            <xdr:cNvPr id="0" name=""/>
            <xdr:cNvSpPr>
              <a:spLocks noTextEdit="1"/>
            </xdr:cNvSpPr>
          </xdr:nvSpPr>
          <xdr:spPr>
            <a:xfrm>
              <a:off x="2076450" y="3676651"/>
              <a:ext cx="1828800" cy="149542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238125</xdr:colOff>
      <xdr:row>0</xdr:row>
      <xdr:rowOff>138112</xdr:rowOff>
    </xdr:from>
    <xdr:to>
      <xdr:col>9</xdr:col>
      <xdr:colOff>542925</xdr:colOff>
      <xdr:row>15</xdr:row>
      <xdr:rowOff>23812</xdr:rowOff>
    </xdr:to>
    <xdr:graphicFrame macro="">
      <xdr:nvGraphicFramePr>
        <xdr:cNvPr id="2" name="Chart 1">
          <a:extLst>
            <a:ext uri="{FF2B5EF4-FFF2-40B4-BE49-F238E27FC236}">
              <a16:creationId xmlns:a16="http://schemas.microsoft.com/office/drawing/2014/main" id="{B70983E8-B689-9050-B9CE-75F7AEDA4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uddha Bhalerao" refreshedDate="46047.724069328702" createdVersion="8" refreshedVersion="8" minRefreshableVersion="3" recordCount="22" xr:uid="{BB1420D7-4C13-45D8-A47F-0FF4C0BB9B85}">
  <cacheSource type="worksheet">
    <worksheetSource ref="A3:H25" sheet="Sheet6"/>
  </cacheSource>
  <cacheFields count="8">
    <cacheField name="Name" numFmtId="0">
      <sharedItems/>
    </cacheField>
    <cacheField name="Gender" numFmtId="0">
      <sharedItems count="2">
        <s v="M"/>
        <s v="F"/>
      </sharedItems>
    </cacheField>
    <cacheField name="Age" numFmtId="0">
      <sharedItems containsSemiMixedTypes="0" containsString="0" containsNumber="1" containsInteger="1" minValue="11" maxValue="17"/>
    </cacheField>
    <cacheField name="Class" numFmtId="0">
      <sharedItems containsSemiMixedTypes="0" containsString="0" containsNumber="1" containsInteger="1" minValue="5" maxValue="10"/>
    </cacheField>
    <cacheField name="House" numFmtId="0">
      <sharedItems count="4">
        <s v="Bhoomi"/>
        <s v="Vayu"/>
        <s v="Jal"/>
        <s v="Agni"/>
      </sharedItems>
    </cacheField>
    <cacheField name="Unit Test 1" numFmtId="0">
      <sharedItems containsSemiMixedTypes="0" containsString="0" containsNumber="1" containsInteger="1" minValue="70" maxValue="91"/>
    </cacheField>
    <cacheField name="Unit Test 2" numFmtId="0">
      <sharedItems containsSemiMixedTypes="0" containsString="0" containsNumber="1" containsInteger="1" minValue="75" maxValue="96"/>
    </cacheField>
    <cacheField name="Final Test" numFmtId="0">
      <sharedItems containsSemiMixedTypes="0" containsString="0" containsNumber="1" containsInteger="1" minValue="77" maxValue="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Abhimanyu"/>
    <x v="0"/>
    <n v="16"/>
    <n v="10"/>
    <x v="0"/>
    <n v="84"/>
    <n v="79"/>
    <n v="81"/>
  </r>
  <r>
    <s v="Arjun"/>
    <x v="0"/>
    <n v="11"/>
    <n v="5"/>
    <x v="1"/>
    <n v="82"/>
    <n v="83"/>
    <n v="91"/>
  </r>
  <r>
    <s v="Champa"/>
    <x v="1"/>
    <n v="15"/>
    <n v="8"/>
    <x v="2"/>
    <n v="81"/>
    <n v="78"/>
    <n v="88"/>
  </r>
  <r>
    <s v="Gopal"/>
    <x v="0"/>
    <n v="14"/>
    <n v="8"/>
    <x v="0"/>
    <n v="70"/>
    <n v="75"/>
    <n v="79"/>
  </r>
  <r>
    <s v="Gopi"/>
    <x v="1"/>
    <n v="16"/>
    <n v="10"/>
    <x v="3"/>
    <n v="88"/>
    <n v="92"/>
    <n v="96"/>
  </r>
  <r>
    <s v="Hari"/>
    <x v="0"/>
    <n v="16"/>
    <n v="10"/>
    <x v="0"/>
    <n v="82"/>
    <n v="81"/>
    <n v="80"/>
  </r>
  <r>
    <s v="Indu"/>
    <x v="1"/>
    <n v="14"/>
    <n v="8"/>
    <x v="1"/>
    <n v="90"/>
    <n v="86"/>
    <n v="89"/>
  </r>
  <r>
    <s v="Keshav"/>
    <x v="0"/>
    <n v="15"/>
    <n v="9"/>
    <x v="3"/>
    <n v="87"/>
    <n v="89"/>
    <n v="96"/>
  </r>
  <r>
    <s v="Lalita"/>
    <x v="1"/>
    <n v="17"/>
    <n v="10"/>
    <x v="1"/>
    <n v="70"/>
    <n v="90"/>
    <n v="92"/>
  </r>
  <r>
    <s v="Madhav"/>
    <x v="0"/>
    <n v="12"/>
    <n v="7"/>
    <x v="2"/>
    <n v="86"/>
    <n v="92"/>
    <n v="89"/>
  </r>
  <r>
    <s v="Sam"/>
    <x v="0"/>
    <n v="11"/>
    <n v="6"/>
    <x v="3"/>
    <n v="91"/>
    <n v="81"/>
    <n v="94"/>
  </r>
  <r>
    <s v="RNM"/>
    <x v="0"/>
    <n v="16"/>
    <n v="10"/>
    <x v="3"/>
    <n v="86"/>
    <n v="81"/>
    <n v="77"/>
  </r>
  <r>
    <s v="Student1"/>
    <x v="0"/>
    <n v="15"/>
    <n v="9"/>
    <x v="3"/>
    <n v="87"/>
    <n v="89"/>
    <n v="95"/>
  </r>
  <r>
    <s v="Student8"/>
    <x v="1"/>
    <n v="15"/>
    <n v="8"/>
    <x v="1"/>
    <n v="81"/>
    <n v="90"/>
    <n v="95"/>
  </r>
  <r>
    <s v="Student2"/>
    <x v="1"/>
    <n v="17"/>
    <n v="10"/>
    <x v="1"/>
    <n v="70"/>
    <n v="90"/>
    <n v="92"/>
  </r>
  <r>
    <s v="Student4"/>
    <x v="1"/>
    <n v="12"/>
    <n v="7"/>
    <x v="2"/>
    <n v="86"/>
    <n v="92"/>
    <n v="89"/>
  </r>
  <r>
    <s v="Student5"/>
    <x v="1"/>
    <n v="16"/>
    <n v="10"/>
    <x v="2"/>
    <n v="81"/>
    <n v="80"/>
    <n v="87"/>
  </r>
  <r>
    <s v="Sudevi"/>
    <x v="1"/>
    <n v="16"/>
    <n v="10"/>
    <x v="2"/>
    <n v="81"/>
    <n v="80"/>
    <n v="87"/>
  </r>
  <r>
    <s v="Varun"/>
    <x v="0"/>
    <n v="15"/>
    <n v="9"/>
    <x v="1"/>
    <n v="87"/>
    <n v="89"/>
    <n v="95"/>
  </r>
  <r>
    <s v="Vidya"/>
    <x v="1"/>
    <n v="11"/>
    <n v="6"/>
    <x v="1"/>
    <n v="88"/>
    <n v="90"/>
    <n v="92"/>
  </r>
  <r>
    <s v="Visakha"/>
    <x v="1"/>
    <n v="16"/>
    <n v="10"/>
    <x v="0"/>
    <n v="70"/>
    <n v="87"/>
    <n v="85"/>
  </r>
  <r>
    <s v="Vrinda"/>
    <x v="1"/>
    <n v="14"/>
    <n v="8"/>
    <x v="3"/>
    <n v="91"/>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1BCF5-29C1-4557-8145-35975F27765C}" name="PivotTable5"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11" firstHeaderRow="1" firstDataRow="1" firstDataCol="2"/>
  <pivotFields count="8">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axis="axisRow" compact="0" outline="0" showAll="0" sortType="descending" defaultSubtotal="0">
      <items count="4">
        <item x="3"/>
        <item x="0"/>
        <item x="2"/>
        <item x="1"/>
      </items>
      <autoSortScope>
        <pivotArea dataOnly="0" outline="0" fieldPosition="0">
          <references count="1">
            <reference field="4294967294" count="1" selected="0">
              <x v="0"/>
            </reference>
          </references>
        </pivotArea>
      </autoSortScope>
    </pivotField>
    <pivotField compact="0" outline="0" multipleItemSelectionAllowed="1" showAll="0" defaultSubtotal="0"/>
    <pivotField compact="0" outline="0" showAll="0" defaultSubtotal="0"/>
    <pivotField dataField="1" compact="0" outline="0" showAll="0" defaultSubtotal="0"/>
  </pivotFields>
  <rowFields count="2">
    <field x="4"/>
    <field x="1"/>
  </rowFields>
  <rowItems count="8">
    <i>
      <x v="3"/>
      <x/>
    </i>
    <i r="1">
      <x v="1"/>
    </i>
    <i>
      <x/>
      <x/>
    </i>
    <i r="1">
      <x v="1"/>
    </i>
    <i>
      <x v="2"/>
      <x/>
    </i>
    <i r="1">
      <x v="1"/>
    </i>
    <i>
      <x v="1"/>
      <x/>
    </i>
    <i r="1">
      <x v="1"/>
    </i>
  </rowItems>
  <colItems count="1">
    <i/>
  </colItems>
  <dataFields count="1">
    <dataField name="Sum of Final Test" fld="7" baseField="0"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296215-A3FD-4EC7-A63F-4510854742A0}" sourceName="Gender">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E90EEE51-DA80-424C-B799-C8C10DD19A1A}" sourceName="House">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D3A760E-4D56-4C74-9059-DC6D4F5E673D}" cache="Slicer_Gender" caption="Gender" rowHeight="241300"/>
  <slicer name="House" xr10:uid="{8DA0B992-3016-438E-8FF4-991D09212002}" cache="Slicer_House" caption="Hou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356DC0-CC1E-40B0-BF4C-6D1BB2B7FEC4}" name="Table1" displayName="Table1" ref="A3:I17" totalsRowShown="0" headerRowDxfId="0" dataDxfId="1" headerRowBorderDxfId="12" tableBorderDxfId="13" totalsRowBorderDxfId="11">
  <autoFilter ref="A3:I17" xr:uid="{5D9910AC-B8DA-48F9-BC00-4CD9A9A7D2EF}"/>
  <sortState xmlns:xlrd2="http://schemas.microsoft.com/office/spreadsheetml/2017/richdata2" ref="A4:I17">
    <sortCondition ref="C4:C17"/>
    <sortCondition descending="1" ref="H4:H17"/>
  </sortState>
  <tableColumns count="9">
    <tableColumn id="1" xr3:uid="{C50027CB-215C-4D33-94F4-A6E25AFC4992}" name="Name" dataDxfId="10"/>
    <tableColumn id="2" xr3:uid="{C2DB41F6-0B86-4174-8ADB-2F2ADE229D12}" name="Gender" dataDxfId="9"/>
    <tableColumn id="3" xr3:uid="{F0B149AF-81DC-49DB-A145-CCFB14FF81EA}" name="Age" dataDxfId="8"/>
    <tableColumn id="4" xr3:uid="{E552E117-601C-4A65-A2A4-13508B765E52}" name="Class" dataDxfId="7"/>
    <tableColumn id="5" xr3:uid="{68A20B1B-2AE9-4564-B300-F0296729E35B}" name="House" dataDxfId="6"/>
    <tableColumn id="6" xr3:uid="{F6D963B0-22D8-481F-AB56-6754AD61B154}" name="Unit Test 1" dataDxfId="5"/>
    <tableColumn id="7" xr3:uid="{8E8B57F8-6264-4962-9349-C9C01874F7A3}" name="Unit Test 2" dataDxfId="4"/>
    <tableColumn id="8" xr3:uid="{0E0F6235-F5F8-4FEB-AB29-4C60CC4C8769}" name="Final Test" dataDxfId="3"/>
    <tableColumn id="9" xr3:uid="{37E55E7B-D5BC-405C-B9B5-BF375DBED060}" name="Email" dataDxfId="2"/>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6729D1-0FAC-4F74-8BED-DE3BDD5AB074}" name="Table2" displayName="Table2" ref="A3:H7" totalsRowShown="0">
  <autoFilter ref="A3:H7" xr:uid="{866729D1-0FAC-4F74-8BED-DE3BDD5AB074}"/>
  <tableColumns count="8">
    <tableColumn id="1" xr3:uid="{6FB9BF1B-08C2-4A9B-BD90-64FC058E82A7}" name="Name"/>
    <tableColumn id="2" xr3:uid="{BA2BF63C-0893-4FC9-B4BD-6DB8D40759FF}" name="Gender"/>
    <tableColumn id="3" xr3:uid="{5875B354-EDD8-4EDE-8689-CBDEC47E2D8B}" name="Age"/>
    <tableColumn id="4" xr3:uid="{5C089D73-44EE-4FFD-8E18-CF8F166D0769}" name="Class"/>
    <tableColumn id="5" xr3:uid="{66C22CAF-F679-4232-B55C-55E71ADEB3C9}" name="House"/>
    <tableColumn id="6" xr3:uid="{D821C7F6-EB41-46B9-8BDB-FE82382EE83A}" name="Unit Test 1"/>
    <tableColumn id="7" xr3:uid="{10F3297E-A5FD-4DCA-8B15-D675DAA3D706}" name="Unit Test 2"/>
    <tableColumn id="8" xr3:uid="{23F71076-E77F-4CDB-912A-4C8355106DDF}" name="Final Te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8644-51C2-4E4A-869E-24AB6EF303B4}">
  <dimension ref="A1:J9"/>
  <sheetViews>
    <sheetView zoomScale="110" zoomScaleNormal="110" workbookViewId="0">
      <selection activeCell="A11" sqref="A11:XFD11"/>
    </sheetView>
  </sheetViews>
  <sheetFormatPr defaultRowHeight="15" x14ac:dyDescent="0.25"/>
  <cols>
    <col min="1" max="1" width="7" bestFit="1" customWidth="1"/>
    <col min="2" max="2" width="10.5703125" bestFit="1" customWidth="1"/>
    <col min="3" max="3" width="10.42578125" bestFit="1" customWidth="1"/>
    <col min="4" max="4" width="18" bestFit="1" customWidth="1"/>
    <col min="5" max="9" width="11.140625" bestFit="1" customWidth="1"/>
    <col min="10" max="10" width="14.140625" bestFit="1" customWidth="1"/>
  </cols>
  <sheetData>
    <row r="1" spans="1:10" ht="18.75" customHeight="1" x14ac:dyDescent="0.25">
      <c r="A1" s="10" t="s">
        <v>19</v>
      </c>
      <c r="B1" s="11"/>
      <c r="C1" s="11"/>
      <c r="D1" s="11"/>
      <c r="E1" s="11"/>
      <c r="F1" s="11"/>
      <c r="G1" s="11"/>
      <c r="H1" s="11"/>
      <c r="I1" s="11"/>
      <c r="J1" s="12"/>
    </row>
    <row r="2" spans="1:10" ht="15.75" thickBot="1" x14ac:dyDescent="0.3">
      <c r="A2" s="13"/>
      <c r="B2" s="14"/>
      <c r="C2" s="14"/>
      <c r="D2" s="14"/>
      <c r="E2" s="14"/>
      <c r="F2" s="14"/>
      <c r="G2" s="14"/>
      <c r="H2" s="14"/>
      <c r="I2" s="14"/>
      <c r="J2" s="15"/>
    </row>
    <row r="4" spans="1:10" x14ac:dyDescent="0.25">
      <c r="A4" s="1" t="s">
        <v>0</v>
      </c>
      <c r="B4" s="1" t="s">
        <v>1</v>
      </c>
      <c r="C4" s="1" t="s">
        <v>2</v>
      </c>
      <c r="D4" s="2" t="s">
        <v>3</v>
      </c>
      <c r="E4" s="3" t="s">
        <v>5</v>
      </c>
      <c r="F4" s="3" t="s">
        <v>4</v>
      </c>
      <c r="G4" s="3" t="s">
        <v>6</v>
      </c>
      <c r="H4" s="3" t="s">
        <v>7</v>
      </c>
      <c r="I4" s="2" t="s">
        <v>8</v>
      </c>
      <c r="J4" s="1" t="s">
        <v>9</v>
      </c>
    </row>
    <row r="5" spans="1:10" x14ac:dyDescent="0.25">
      <c r="A5" s="4">
        <v>1</v>
      </c>
      <c r="B5" s="5" t="s">
        <v>10</v>
      </c>
      <c r="C5" s="5" t="s">
        <v>15</v>
      </c>
      <c r="D5" s="6">
        <v>42030</v>
      </c>
      <c r="E5" s="7">
        <v>1500</v>
      </c>
      <c r="F5" s="7">
        <v>1200</v>
      </c>
      <c r="G5" s="7">
        <v>1500</v>
      </c>
      <c r="H5" s="7">
        <f>SUM(E5:G5)</f>
        <v>4200</v>
      </c>
      <c r="I5" s="8">
        <f>AVERAGE(E5:G5)</f>
        <v>1400</v>
      </c>
      <c r="J5" s="5" t="str">
        <f>CONCATENATE(B5," ",C5)</f>
        <v>RAM KUMAR</v>
      </c>
    </row>
    <row r="6" spans="1:10" x14ac:dyDescent="0.25">
      <c r="A6" s="4">
        <v>2</v>
      </c>
      <c r="B6" s="5" t="s">
        <v>11</v>
      </c>
      <c r="C6" s="5" t="s">
        <v>16</v>
      </c>
      <c r="D6" s="6">
        <v>42954</v>
      </c>
      <c r="E6" s="7">
        <v>1700</v>
      </c>
      <c r="F6" s="7">
        <v>1800</v>
      </c>
      <c r="G6" s="7">
        <v>2000</v>
      </c>
      <c r="H6" s="7">
        <f>SUM(E6:G6)</f>
        <v>5500</v>
      </c>
      <c r="I6" s="8">
        <f>AVERAGE(E6:G6)</f>
        <v>1833.3333333333333</v>
      </c>
      <c r="J6" s="5" t="str">
        <f>CONCATENATE(B6," ",C6)</f>
        <v>GOPAL VERMA</v>
      </c>
    </row>
    <row r="7" spans="1:10" x14ac:dyDescent="0.25">
      <c r="A7" s="4">
        <v>3</v>
      </c>
      <c r="B7" s="5" t="s">
        <v>12</v>
      </c>
      <c r="C7" s="5" t="s">
        <v>17</v>
      </c>
      <c r="D7" s="6">
        <v>40976</v>
      </c>
      <c r="E7" s="7">
        <v>1800</v>
      </c>
      <c r="F7" s="7">
        <v>1500</v>
      </c>
      <c r="G7" s="7">
        <v>1900</v>
      </c>
      <c r="H7" s="7">
        <f>SUM(E7:G7)</f>
        <v>5200</v>
      </c>
      <c r="I7" s="8">
        <f>AVERAGE(E7:G7)</f>
        <v>1733.3333333333333</v>
      </c>
      <c r="J7" s="5" t="str">
        <f>CONCATENATE(B7," ",C7)</f>
        <v>JOSEPH PAUL</v>
      </c>
    </row>
    <row r="8" spans="1:10" x14ac:dyDescent="0.25">
      <c r="A8" s="4">
        <v>4</v>
      </c>
      <c r="B8" s="5" t="s">
        <v>13</v>
      </c>
      <c r="C8" s="5" t="s">
        <v>18</v>
      </c>
      <c r="D8" s="6">
        <v>43402</v>
      </c>
      <c r="E8" s="7">
        <v>1200</v>
      </c>
      <c r="F8" s="7">
        <v>1500</v>
      </c>
      <c r="G8" s="7">
        <v>1800</v>
      </c>
      <c r="H8" s="7">
        <f>SUM(E8:G8)</f>
        <v>4500</v>
      </c>
      <c r="I8" s="8">
        <f>AVERAGE(E8:G8)</f>
        <v>1500</v>
      </c>
      <c r="J8" s="5" t="str">
        <f>CONCATENATE(B8," ",C8)</f>
        <v>HARI SINGH</v>
      </c>
    </row>
    <row r="9" spans="1:10" x14ac:dyDescent="0.25">
      <c r="A9" s="9">
        <v>5</v>
      </c>
      <c r="B9" s="5" t="s">
        <v>14</v>
      </c>
      <c r="C9" s="5" t="s">
        <v>10</v>
      </c>
      <c r="D9" s="6">
        <v>44077</v>
      </c>
      <c r="E9" s="7">
        <v>2000</v>
      </c>
      <c r="F9" s="7">
        <v>2500</v>
      </c>
      <c r="G9" s="7">
        <v>2900</v>
      </c>
      <c r="H9" s="7">
        <f>SUM(E9:G9)</f>
        <v>7400</v>
      </c>
      <c r="I9" s="8">
        <f>AVERAGE(E9:G9)</f>
        <v>2466.6666666666665</v>
      </c>
      <c r="J9" s="5" t="str">
        <f>CONCATENATE(B9," ",C9)</f>
        <v>RAJA RAM</v>
      </c>
    </row>
  </sheetData>
  <mergeCells count="1">
    <mergeCell ref="A1:J2"/>
  </mergeCells>
  <conditionalFormatting sqref="H4:H9">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DA231-D34A-49F1-8F72-466BD05CB3C4}">
  <dimension ref="A2:D8"/>
  <sheetViews>
    <sheetView workbookViewId="0">
      <selection activeCell="H10" sqref="H10"/>
    </sheetView>
  </sheetViews>
  <sheetFormatPr defaultRowHeight="15" x14ac:dyDescent="0.25"/>
  <cols>
    <col min="2" max="2" width="11.7109375" customWidth="1"/>
    <col min="3" max="3" width="14.140625" customWidth="1"/>
    <col min="4" max="4" width="12.28515625" bestFit="1" customWidth="1"/>
  </cols>
  <sheetData>
    <row r="2" spans="1:4" x14ac:dyDescent="0.25">
      <c r="A2" t="s">
        <v>20</v>
      </c>
      <c r="B2" t="s">
        <v>21</v>
      </c>
      <c r="C2" t="s">
        <v>22</v>
      </c>
      <c r="D2" t="s">
        <v>23</v>
      </c>
    </row>
    <row r="3" spans="1:4" x14ac:dyDescent="0.25">
      <c r="A3">
        <v>1.0333300000000001</v>
      </c>
      <c r="B3" s="16">
        <f>ROUND(A3,0)</f>
        <v>1</v>
      </c>
      <c r="C3" s="17">
        <f>ROUNDUP(A3,0)</f>
        <v>2</v>
      </c>
      <c r="D3" s="16">
        <f>ROUNDDOWN(A3,0)</f>
        <v>1</v>
      </c>
    </row>
    <row r="4" spans="1:4" x14ac:dyDescent="0.25">
      <c r="A4">
        <v>2.0554999999999999</v>
      </c>
      <c r="B4" s="16">
        <f t="shared" ref="B4:B8" si="0">ROUND(A4,0)</f>
        <v>2</v>
      </c>
      <c r="C4" s="17">
        <f t="shared" ref="C4:C8" si="1">ROUNDUP(A4,0)</f>
        <v>3</v>
      </c>
      <c r="D4" s="16">
        <f t="shared" ref="D4:D8" si="2">ROUNDDOWN(A4,0)</f>
        <v>2</v>
      </c>
    </row>
    <row r="5" spans="1:4" x14ac:dyDescent="0.25">
      <c r="A5">
        <v>2.9999899999999999</v>
      </c>
      <c r="B5" s="16">
        <f t="shared" si="0"/>
        <v>3</v>
      </c>
      <c r="C5" s="17">
        <f t="shared" si="1"/>
        <v>3</v>
      </c>
      <c r="D5" s="16">
        <f t="shared" si="2"/>
        <v>2</v>
      </c>
    </row>
    <row r="6" spans="1:4" x14ac:dyDescent="0.25">
      <c r="A6">
        <v>8.9565000000000001</v>
      </c>
      <c r="B6" s="16">
        <f t="shared" si="0"/>
        <v>9</v>
      </c>
      <c r="C6" s="17">
        <f t="shared" si="1"/>
        <v>9</v>
      </c>
      <c r="D6" s="16">
        <f t="shared" si="2"/>
        <v>8</v>
      </c>
    </row>
    <row r="7" spans="1:4" x14ac:dyDescent="0.25">
      <c r="A7">
        <v>1.333</v>
      </c>
      <c r="B7" s="16">
        <f t="shared" si="0"/>
        <v>1</v>
      </c>
      <c r="C7" s="17">
        <f t="shared" si="1"/>
        <v>2</v>
      </c>
      <c r="D7" s="16">
        <f t="shared" si="2"/>
        <v>1</v>
      </c>
    </row>
    <row r="8" spans="1:4" x14ac:dyDescent="0.25">
      <c r="A8">
        <v>4.556</v>
      </c>
      <c r="B8" s="16">
        <f t="shared" si="0"/>
        <v>5</v>
      </c>
      <c r="C8" s="17">
        <f t="shared" si="1"/>
        <v>5</v>
      </c>
      <c r="D8" s="16">
        <f t="shared" si="2"/>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910AC-B8DA-48F9-BC00-4CD9A9A7D2EF}">
  <dimension ref="A1:I17"/>
  <sheetViews>
    <sheetView workbookViewId="0">
      <selection activeCell="H3" activeCellId="1" sqref="A3:A17 H3:H17"/>
    </sheetView>
  </sheetViews>
  <sheetFormatPr defaultRowHeight="15" x14ac:dyDescent="0.25"/>
  <cols>
    <col min="1" max="1" width="11.140625" bestFit="1" customWidth="1"/>
    <col min="2" max="2" width="9.85546875" customWidth="1"/>
    <col min="3" max="3" width="6.5703125" customWidth="1"/>
    <col min="4" max="4" width="7.5703125" customWidth="1"/>
    <col min="5" max="5" width="8.7109375" customWidth="1"/>
    <col min="6" max="7" width="12.5703125" customWidth="1"/>
    <col min="8" max="8" width="11.5703125" customWidth="1"/>
    <col min="9" max="9" width="21.5703125" bestFit="1" customWidth="1"/>
  </cols>
  <sheetData>
    <row r="1" spans="1:9" s="18" customFormat="1" ht="23.25" x14ac:dyDescent="0.25">
      <c r="A1" s="20" t="s">
        <v>67</v>
      </c>
      <c r="B1" s="20"/>
      <c r="C1" s="20"/>
      <c r="D1" s="20"/>
      <c r="E1" s="20"/>
      <c r="F1" s="20"/>
      <c r="G1" s="20"/>
      <c r="H1" s="20"/>
      <c r="I1" s="20"/>
    </row>
    <row r="2" spans="1:9" s="18" customFormat="1" x14ac:dyDescent="0.25">
      <c r="A2" s="26"/>
      <c r="B2" s="27"/>
      <c r="C2" s="27"/>
      <c r="D2" s="27"/>
      <c r="E2" s="27"/>
      <c r="F2" s="27"/>
      <c r="G2" s="27"/>
      <c r="H2" s="27"/>
      <c r="I2" s="28"/>
    </row>
    <row r="3" spans="1:9" x14ac:dyDescent="0.25">
      <c r="A3" s="23" t="s">
        <v>24</v>
      </c>
      <c r="B3" s="21" t="s">
        <v>25</v>
      </c>
      <c r="C3" s="21" t="s">
        <v>26</v>
      </c>
      <c r="D3" s="21" t="s">
        <v>27</v>
      </c>
      <c r="E3" s="21" t="s">
        <v>28</v>
      </c>
      <c r="F3" s="21" t="s">
        <v>29</v>
      </c>
      <c r="G3" s="21" t="s">
        <v>30</v>
      </c>
      <c r="H3" s="21" t="s">
        <v>31</v>
      </c>
      <c r="I3" s="24" t="s">
        <v>32</v>
      </c>
    </row>
    <row r="4" spans="1:9" x14ac:dyDescent="0.25">
      <c r="A4" s="22" t="s">
        <v>37</v>
      </c>
      <c r="B4" s="19" t="s">
        <v>34</v>
      </c>
      <c r="C4" s="19">
        <v>11</v>
      </c>
      <c r="D4" s="19">
        <v>5</v>
      </c>
      <c r="E4" s="19" t="s">
        <v>38</v>
      </c>
      <c r="F4" s="19">
        <v>82</v>
      </c>
      <c r="G4" s="19">
        <v>83</v>
      </c>
      <c r="H4" s="19">
        <v>91</v>
      </c>
      <c r="I4" s="25" t="s">
        <v>39</v>
      </c>
    </row>
    <row r="5" spans="1:9" x14ac:dyDescent="0.25">
      <c r="A5" s="22" t="s">
        <v>57</v>
      </c>
      <c r="B5" s="19" t="s">
        <v>34</v>
      </c>
      <c r="C5" s="19">
        <v>12</v>
      </c>
      <c r="D5" s="19">
        <v>7</v>
      </c>
      <c r="E5" s="19" t="s">
        <v>42</v>
      </c>
      <c r="F5" s="19">
        <v>86</v>
      </c>
      <c r="G5" s="19">
        <v>92</v>
      </c>
      <c r="H5" s="19">
        <v>89</v>
      </c>
      <c r="I5" s="25" t="s">
        <v>58</v>
      </c>
    </row>
    <row r="6" spans="1:9" x14ac:dyDescent="0.25">
      <c r="A6" s="22" t="s">
        <v>65</v>
      </c>
      <c r="B6" s="19" t="s">
        <v>41</v>
      </c>
      <c r="C6" s="19">
        <v>14</v>
      </c>
      <c r="D6" s="19">
        <v>8</v>
      </c>
      <c r="E6" s="19" t="s">
        <v>47</v>
      </c>
      <c r="F6" s="19">
        <v>91</v>
      </c>
      <c r="G6" s="19">
        <v>96</v>
      </c>
      <c r="H6" s="19">
        <v>98</v>
      </c>
      <c r="I6" s="25" t="s">
        <v>66</v>
      </c>
    </row>
    <row r="7" spans="1:9" x14ac:dyDescent="0.25">
      <c r="A7" s="22" t="s">
        <v>51</v>
      </c>
      <c r="B7" s="19" t="s">
        <v>41</v>
      </c>
      <c r="C7" s="19">
        <v>14</v>
      </c>
      <c r="D7" s="19">
        <v>8</v>
      </c>
      <c r="E7" s="19" t="s">
        <v>38</v>
      </c>
      <c r="F7" s="19">
        <v>90</v>
      </c>
      <c r="G7" s="19">
        <v>86</v>
      </c>
      <c r="H7" s="19">
        <v>89</v>
      </c>
      <c r="I7" s="25" t="s">
        <v>52</v>
      </c>
    </row>
    <row r="8" spans="1:9" x14ac:dyDescent="0.25">
      <c r="A8" s="22" t="s">
        <v>44</v>
      </c>
      <c r="B8" s="19" t="s">
        <v>34</v>
      </c>
      <c r="C8" s="19">
        <v>14</v>
      </c>
      <c r="D8" s="19">
        <v>8</v>
      </c>
      <c r="E8" s="19" t="s">
        <v>35</v>
      </c>
      <c r="F8" s="19">
        <v>70</v>
      </c>
      <c r="G8" s="19">
        <v>75</v>
      </c>
      <c r="H8" s="19">
        <v>79</v>
      </c>
      <c r="I8" s="25" t="s">
        <v>45</v>
      </c>
    </row>
    <row r="9" spans="1:9" x14ac:dyDescent="0.25">
      <c r="A9" s="22" t="s">
        <v>53</v>
      </c>
      <c r="B9" s="19" t="s">
        <v>34</v>
      </c>
      <c r="C9" s="19">
        <v>15</v>
      </c>
      <c r="D9" s="19">
        <v>9</v>
      </c>
      <c r="E9" s="19" t="s">
        <v>47</v>
      </c>
      <c r="F9" s="19">
        <v>87</v>
      </c>
      <c r="G9" s="19">
        <v>89</v>
      </c>
      <c r="H9" s="19">
        <v>96</v>
      </c>
      <c r="I9" s="25" t="s">
        <v>54</v>
      </c>
    </row>
    <row r="10" spans="1:9" x14ac:dyDescent="0.25">
      <c r="A10" s="22" t="s">
        <v>40</v>
      </c>
      <c r="B10" s="19" t="s">
        <v>41</v>
      </c>
      <c r="C10" s="19">
        <v>15</v>
      </c>
      <c r="D10" s="19">
        <v>8</v>
      </c>
      <c r="E10" s="19" t="s">
        <v>42</v>
      </c>
      <c r="F10" s="19">
        <v>81</v>
      </c>
      <c r="G10" s="19">
        <v>78</v>
      </c>
      <c r="H10" s="19">
        <v>88</v>
      </c>
      <c r="I10" s="25" t="s">
        <v>43</v>
      </c>
    </row>
    <row r="11" spans="1:9" x14ac:dyDescent="0.25">
      <c r="A11" s="22" t="s">
        <v>33</v>
      </c>
      <c r="B11" s="19" t="s">
        <v>34</v>
      </c>
      <c r="C11" s="19">
        <v>16</v>
      </c>
      <c r="D11" s="19">
        <v>10</v>
      </c>
      <c r="E11" s="19" t="s">
        <v>35</v>
      </c>
      <c r="F11" s="19">
        <v>84</v>
      </c>
      <c r="G11" s="19">
        <v>79</v>
      </c>
      <c r="H11" s="19">
        <v>99</v>
      </c>
      <c r="I11" s="25" t="s">
        <v>36</v>
      </c>
    </row>
    <row r="12" spans="1:9" x14ac:dyDescent="0.25">
      <c r="A12" s="22" t="s">
        <v>46</v>
      </c>
      <c r="B12" s="19" t="s">
        <v>41</v>
      </c>
      <c r="C12" s="19">
        <v>16</v>
      </c>
      <c r="D12" s="19">
        <v>10</v>
      </c>
      <c r="E12" s="19" t="s">
        <v>47</v>
      </c>
      <c r="F12" s="19">
        <v>88</v>
      </c>
      <c r="G12" s="19">
        <v>92</v>
      </c>
      <c r="H12" s="19">
        <v>96</v>
      </c>
      <c r="I12" s="25" t="s">
        <v>48</v>
      </c>
    </row>
    <row r="13" spans="1:9" x14ac:dyDescent="0.25">
      <c r="A13" s="22" t="s">
        <v>61</v>
      </c>
      <c r="B13" s="19" t="s">
        <v>41</v>
      </c>
      <c r="C13" s="19">
        <v>16</v>
      </c>
      <c r="D13" s="19">
        <v>10</v>
      </c>
      <c r="E13" s="19" t="s">
        <v>42</v>
      </c>
      <c r="F13" s="19">
        <v>81</v>
      </c>
      <c r="G13" s="19">
        <v>80</v>
      </c>
      <c r="H13" s="19">
        <v>87</v>
      </c>
      <c r="I13" s="25" t="s">
        <v>62</v>
      </c>
    </row>
    <row r="14" spans="1:9" x14ac:dyDescent="0.25">
      <c r="A14" s="22" t="s">
        <v>63</v>
      </c>
      <c r="B14" s="19" t="s">
        <v>41</v>
      </c>
      <c r="C14" s="19">
        <v>16</v>
      </c>
      <c r="D14" s="19">
        <v>10</v>
      </c>
      <c r="E14" s="19" t="s">
        <v>35</v>
      </c>
      <c r="F14" s="19">
        <v>70</v>
      </c>
      <c r="G14" s="19">
        <v>87</v>
      </c>
      <c r="H14" s="19">
        <v>85</v>
      </c>
      <c r="I14" s="25" t="s">
        <v>64</v>
      </c>
    </row>
    <row r="15" spans="1:9" x14ac:dyDescent="0.25">
      <c r="A15" s="22" t="s">
        <v>49</v>
      </c>
      <c r="B15" s="19" t="s">
        <v>34</v>
      </c>
      <c r="C15" s="19">
        <v>16</v>
      </c>
      <c r="D15" s="19">
        <v>10</v>
      </c>
      <c r="E15" s="19" t="s">
        <v>35</v>
      </c>
      <c r="F15" s="19">
        <v>82</v>
      </c>
      <c r="G15" s="19">
        <v>81</v>
      </c>
      <c r="H15" s="19">
        <v>80</v>
      </c>
      <c r="I15" s="25" t="s">
        <v>50</v>
      </c>
    </row>
    <row r="16" spans="1:9" x14ac:dyDescent="0.25">
      <c r="A16" s="22" t="s">
        <v>59</v>
      </c>
      <c r="B16" s="19" t="s">
        <v>34</v>
      </c>
      <c r="C16" s="19">
        <v>16</v>
      </c>
      <c r="D16" s="19">
        <v>10</v>
      </c>
      <c r="E16" s="19" t="s">
        <v>47</v>
      </c>
      <c r="F16" s="19">
        <v>86</v>
      </c>
      <c r="G16" s="19">
        <v>81</v>
      </c>
      <c r="H16" s="19">
        <v>77</v>
      </c>
      <c r="I16" s="25" t="s">
        <v>60</v>
      </c>
    </row>
    <row r="17" spans="1:9" x14ac:dyDescent="0.25">
      <c r="A17" s="28" t="s">
        <v>55</v>
      </c>
      <c r="B17" s="29" t="s">
        <v>41</v>
      </c>
      <c r="C17" s="29">
        <v>17</v>
      </c>
      <c r="D17" s="29">
        <v>10</v>
      </c>
      <c r="E17" s="29" t="s">
        <v>38</v>
      </c>
      <c r="F17" s="29">
        <v>70</v>
      </c>
      <c r="G17" s="29">
        <v>90</v>
      </c>
      <c r="H17" s="29">
        <v>92</v>
      </c>
      <c r="I17" s="30" t="s">
        <v>56</v>
      </c>
    </row>
  </sheetData>
  <mergeCells count="1">
    <mergeCell ref="A1:I1"/>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AF3FA-A30D-4845-A9FE-38D19731AB93}">
  <dimension ref="A3:L17"/>
  <sheetViews>
    <sheetView workbookViewId="0">
      <selection activeCell="L4" sqref="L4"/>
    </sheetView>
  </sheetViews>
  <sheetFormatPr defaultRowHeight="15" x14ac:dyDescent="0.25"/>
  <cols>
    <col min="1" max="1" width="11.140625" bestFit="1" customWidth="1"/>
    <col min="2" max="2" width="7.5703125" bestFit="1" customWidth="1"/>
    <col min="3" max="3" width="4.42578125" bestFit="1" customWidth="1"/>
    <col min="4" max="4" width="5.42578125" bestFit="1" customWidth="1"/>
    <col min="5" max="5" width="7.85546875" bestFit="1" customWidth="1"/>
    <col min="6" max="7" width="10.28515625" bestFit="1" customWidth="1"/>
    <col min="8" max="8" width="9.42578125" bestFit="1" customWidth="1"/>
    <col min="9" max="9" width="21.5703125" bestFit="1" customWidth="1"/>
    <col min="11" max="11" width="11.140625" bestFit="1" customWidth="1"/>
  </cols>
  <sheetData>
    <row r="3" spans="1:12" x14ac:dyDescent="0.25">
      <c r="A3" s="38" t="s">
        <v>24</v>
      </c>
      <c r="B3" s="39" t="s">
        <v>25</v>
      </c>
      <c r="C3" s="39" t="s">
        <v>26</v>
      </c>
      <c r="D3" s="39" t="s">
        <v>27</v>
      </c>
      <c r="E3" s="39" t="s">
        <v>28</v>
      </c>
      <c r="F3" s="39" t="s">
        <v>29</v>
      </c>
      <c r="G3" s="39" t="s">
        <v>30</v>
      </c>
      <c r="H3" s="39" t="s">
        <v>31</v>
      </c>
      <c r="I3" s="39" t="s">
        <v>32</v>
      </c>
      <c r="K3" s="39" t="s">
        <v>24</v>
      </c>
      <c r="L3" s="39" t="s">
        <v>31</v>
      </c>
    </row>
    <row r="4" spans="1:12" x14ac:dyDescent="0.25">
      <c r="A4" s="5" t="s">
        <v>33</v>
      </c>
      <c r="B4" s="19" t="s">
        <v>34</v>
      </c>
      <c r="C4" s="19">
        <v>16</v>
      </c>
      <c r="D4" s="19">
        <v>10</v>
      </c>
      <c r="E4" s="19" t="s">
        <v>35</v>
      </c>
      <c r="F4" s="19">
        <v>84</v>
      </c>
      <c r="G4" s="19">
        <v>79</v>
      </c>
      <c r="H4" s="19">
        <v>99</v>
      </c>
      <c r="I4" s="19" t="s">
        <v>36</v>
      </c>
      <c r="K4" s="5" t="s">
        <v>33</v>
      </c>
      <c r="L4" s="5">
        <f>VLOOKUP(K4,A3:I17,7,FALSE)</f>
        <v>79</v>
      </c>
    </row>
    <row r="5" spans="1:12" x14ac:dyDescent="0.25">
      <c r="A5" s="5" t="s">
        <v>37</v>
      </c>
      <c r="B5" s="19" t="s">
        <v>34</v>
      </c>
      <c r="C5" s="19">
        <v>11</v>
      </c>
      <c r="D5" s="19">
        <v>5</v>
      </c>
      <c r="E5" s="19" t="s">
        <v>38</v>
      </c>
      <c r="F5" s="19">
        <v>82</v>
      </c>
      <c r="G5" s="19">
        <v>83</v>
      </c>
      <c r="H5" s="19">
        <v>91</v>
      </c>
      <c r="I5" s="19" t="s">
        <v>39</v>
      </c>
      <c r="K5" s="5" t="s">
        <v>46</v>
      </c>
      <c r="L5" s="5">
        <f t="shared" ref="L5:L8" si="0">VLOOKUP(K5,A4:I18,7,FALSE)</f>
        <v>92</v>
      </c>
    </row>
    <row r="6" spans="1:12" x14ac:dyDescent="0.25">
      <c r="A6" s="5" t="s">
        <v>40</v>
      </c>
      <c r="B6" s="19" t="s">
        <v>41</v>
      </c>
      <c r="C6" s="19">
        <v>15</v>
      </c>
      <c r="D6" s="19">
        <v>8</v>
      </c>
      <c r="E6" s="19" t="s">
        <v>42</v>
      </c>
      <c r="F6" s="19">
        <v>81</v>
      </c>
      <c r="G6" s="19">
        <v>78</v>
      </c>
      <c r="H6" s="19">
        <v>88</v>
      </c>
      <c r="I6" s="19" t="s">
        <v>43</v>
      </c>
      <c r="K6" s="5" t="s">
        <v>49</v>
      </c>
      <c r="L6" s="5">
        <f t="shared" si="0"/>
        <v>81</v>
      </c>
    </row>
    <row r="7" spans="1:12" x14ac:dyDescent="0.25">
      <c r="A7" s="5" t="s">
        <v>44</v>
      </c>
      <c r="B7" s="19" t="s">
        <v>34</v>
      </c>
      <c r="C7" s="19">
        <v>14</v>
      </c>
      <c r="D7" s="19">
        <v>8</v>
      </c>
      <c r="E7" s="19" t="s">
        <v>35</v>
      </c>
      <c r="F7" s="19">
        <v>70</v>
      </c>
      <c r="G7" s="19">
        <v>75</v>
      </c>
      <c r="H7" s="19">
        <v>79</v>
      </c>
      <c r="I7" s="19" t="s">
        <v>45</v>
      </c>
      <c r="K7" s="5" t="s">
        <v>57</v>
      </c>
      <c r="L7" s="5">
        <f t="shared" si="0"/>
        <v>92</v>
      </c>
    </row>
    <row r="8" spans="1:12" x14ac:dyDescent="0.25">
      <c r="A8" s="5" t="s">
        <v>46</v>
      </c>
      <c r="B8" s="19" t="s">
        <v>41</v>
      </c>
      <c r="C8" s="19">
        <v>16</v>
      </c>
      <c r="D8" s="19">
        <v>10</v>
      </c>
      <c r="E8" s="19" t="s">
        <v>47</v>
      </c>
      <c r="F8" s="19">
        <v>88</v>
      </c>
      <c r="G8" s="19">
        <v>92</v>
      </c>
      <c r="H8" s="19">
        <v>96</v>
      </c>
      <c r="I8" s="19" t="s">
        <v>48</v>
      </c>
      <c r="K8" s="5" t="s">
        <v>65</v>
      </c>
      <c r="L8" s="5">
        <f t="shared" si="0"/>
        <v>96</v>
      </c>
    </row>
    <row r="9" spans="1:12" x14ac:dyDescent="0.25">
      <c r="A9" s="5" t="s">
        <v>49</v>
      </c>
      <c r="B9" s="19" t="s">
        <v>34</v>
      </c>
      <c r="C9" s="19">
        <v>16</v>
      </c>
      <c r="D9" s="19">
        <v>10</v>
      </c>
      <c r="E9" s="19" t="s">
        <v>35</v>
      </c>
      <c r="F9" s="19">
        <v>82</v>
      </c>
      <c r="G9" s="19">
        <v>81</v>
      </c>
      <c r="H9" s="19">
        <v>80</v>
      </c>
      <c r="I9" s="19" t="s">
        <v>50</v>
      </c>
    </row>
    <row r="10" spans="1:12" x14ac:dyDescent="0.25">
      <c r="A10" s="5" t="s">
        <v>51</v>
      </c>
      <c r="B10" s="19" t="s">
        <v>41</v>
      </c>
      <c r="C10" s="19">
        <v>14</v>
      </c>
      <c r="D10" s="19">
        <v>8</v>
      </c>
      <c r="E10" s="19" t="s">
        <v>38</v>
      </c>
      <c r="F10" s="19">
        <v>90</v>
      </c>
      <c r="G10" s="19">
        <v>86</v>
      </c>
      <c r="H10" s="19">
        <v>89</v>
      </c>
      <c r="I10" s="19" t="s">
        <v>52</v>
      </c>
    </row>
    <row r="11" spans="1:12" x14ac:dyDescent="0.25">
      <c r="A11" s="5" t="s">
        <v>53</v>
      </c>
      <c r="B11" s="19" t="s">
        <v>34</v>
      </c>
      <c r="C11" s="19">
        <v>15</v>
      </c>
      <c r="D11" s="19">
        <v>9</v>
      </c>
      <c r="E11" s="19" t="s">
        <v>47</v>
      </c>
      <c r="F11" s="19">
        <v>87</v>
      </c>
      <c r="G11" s="19">
        <v>89</v>
      </c>
      <c r="H11" s="19">
        <v>96</v>
      </c>
      <c r="I11" s="19" t="s">
        <v>54</v>
      </c>
    </row>
    <row r="12" spans="1:12" x14ac:dyDescent="0.25">
      <c r="A12" s="5" t="s">
        <v>55</v>
      </c>
      <c r="B12" s="19" t="s">
        <v>41</v>
      </c>
      <c r="C12" s="19">
        <v>17</v>
      </c>
      <c r="D12" s="19">
        <v>10</v>
      </c>
      <c r="E12" s="19" t="s">
        <v>38</v>
      </c>
      <c r="F12" s="19">
        <v>70</v>
      </c>
      <c r="G12" s="19">
        <v>90</v>
      </c>
      <c r="H12" s="19">
        <v>92</v>
      </c>
      <c r="I12" s="19" t="s">
        <v>56</v>
      </c>
    </row>
    <row r="13" spans="1:12" x14ac:dyDescent="0.25">
      <c r="A13" s="5" t="s">
        <v>57</v>
      </c>
      <c r="B13" s="19" t="s">
        <v>34</v>
      </c>
      <c r="C13" s="19">
        <v>12</v>
      </c>
      <c r="D13" s="19">
        <v>7</v>
      </c>
      <c r="E13" s="19" t="s">
        <v>42</v>
      </c>
      <c r="F13" s="19">
        <v>86</v>
      </c>
      <c r="G13" s="19">
        <v>92</v>
      </c>
      <c r="H13" s="19">
        <v>89</v>
      </c>
      <c r="I13" s="19" t="s">
        <v>58</v>
      </c>
    </row>
    <row r="14" spans="1:12" x14ac:dyDescent="0.25">
      <c r="A14" s="5" t="s">
        <v>59</v>
      </c>
      <c r="B14" s="19" t="s">
        <v>34</v>
      </c>
      <c r="C14" s="19">
        <v>16</v>
      </c>
      <c r="D14" s="19">
        <v>10</v>
      </c>
      <c r="E14" s="19" t="s">
        <v>47</v>
      </c>
      <c r="F14" s="19">
        <v>86</v>
      </c>
      <c r="G14" s="19">
        <v>81</v>
      </c>
      <c r="H14" s="19">
        <v>77</v>
      </c>
      <c r="I14" s="19" t="s">
        <v>60</v>
      </c>
    </row>
    <row r="15" spans="1:12" x14ac:dyDescent="0.25">
      <c r="A15" s="5" t="s">
        <v>61</v>
      </c>
      <c r="B15" s="19" t="s">
        <v>41</v>
      </c>
      <c r="C15" s="19">
        <v>16</v>
      </c>
      <c r="D15" s="19">
        <v>10</v>
      </c>
      <c r="E15" s="19" t="s">
        <v>42</v>
      </c>
      <c r="F15" s="19">
        <v>81</v>
      </c>
      <c r="G15" s="19">
        <v>80</v>
      </c>
      <c r="H15" s="19">
        <v>87</v>
      </c>
      <c r="I15" s="19" t="s">
        <v>62</v>
      </c>
    </row>
    <row r="16" spans="1:12" x14ac:dyDescent="0.25">
      <c r="A16" s="5" t="s">
        <v>63</v>
      </c>
      <c r="B16" s="19" t="s">
        <v>41</v>
      </c>
      <c r="C16" s="19">
        <v>16</v>
      </c>
      <c r="D16" s="19">
        <v>10</v>
      </c>
      <c r="E16" s="19" t="s">
        <v>35</v>
      </c>
      <c r="F16" s="19">
        <v>70</v>
      </c>
      <c r="G16" s="19">
        <v>87</v>
      </c>
      <c r="H16" s="19">
        <v>85</v>
      </c>
      <c r="I16" s="19" t="s">
        <v>64</v>
      </c>
    </row>
    <row r="17" spans="1:9" x14ac:dyDescent="0.25">
      <c r="A17" s="5" t="s">
        <v>65</v>
      </c>
      <c r="B17" s="19" t="s">
        <v>41</v>
      </c>
      <c r="C17" s="19">
        <v>14</v>
      </c>
      <c r="D17" s="19">
        <v>8</v>
      </c>
      <c r="E17" s="19" t="s">
        <v>47</v>
      </c>
      <c r="F17" s="19">
        <v>91</v>
      </c>
      <c r="G17" s="19">
        <v>96</v>
      </c>
      <c r="H17" s="19">
        <v>98</v>
      </c>
      <c r="I17" s="19" t="s">
        <v>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0EED-E24B-4B92-AE43-FA60D9B996C6}">
  <dimension ref="A1:B15"/>
  <sheetViews>
    <sheetView workbookViewId="0">
      <selection activeCell="I13" sqref="I13"/>
    </sheetView>
  </sheetViews>
  <sheetFormatPr defaultRowHeight="15" x14ac:dyDescent="0.25"/>
  <cols>
    <col min="1" max="2" width="21.5703125" bestFit="1" customWidth="1"/>
  </cols>
  <sheetData>
    <row r="1" spans="1:2" x14ac:dyDescent="0.25">
      <c r="A1" s="31" t="s">
        <v>32</v>
      </c>
      <c r="B1" s="31" t="s">
        <v>32</v>
      </c>
    </row>
    <row r="2" spans="1:2" x14ac:dyDescent="0.25">
      <c r="A2" s="32" t="s">
        <v>39</v>
      </c>
      <c r="B2" s="32" t="s">
        <v>37</v>
      </c>
    </row>
    <row r="3" spans="1:2" x14ac:dyDescent="0.25">
      <c r="A3" s="33" t="s">
        <v>58</v>
      </c>
      <c r="B3" s="33" t="s">
        <v>57</v>
      </c>
    </row>
    <row r="4" spans="1:2" x14ac:dyDescent="0.25">
      <c r="A4" s="32" t="s">
        <v>66</v>
      </c>
      <c r="B4" s="32" t="s">
        <v>65</v>
      </c>
    </row>
    <row r="5" spans="1:2" x14ac:dyDescent="0.25">
      <c r="A5" s="33" t="s">
        <v>52</v>
      </c>
      <c r="B5" s="33" t="s">
        <v>51</v>
      </c>
    </row>
    <row r="6" spans="1:2" x14ac:dyDescent="0.25">
      <c r="A6" s="32" t="s">
        <v>45</v>
      </c>
      <c r="B6" s="32" t="s">
        <v>44</v>
      </c>
    </row>
    <row r="7" spans="1:2" x14ac:dyDescent="0.25">
      <c r="A7" s="33" t="s">
        <v>54</v>
      </c>
      <c r="B7" s="33" t="s">
        <v>53</v>
      </c>
    </row>
    <row r="8" spans="1:2" x14ac:dyDescent="0.25">
      <c r="A8" s="32" t="s">
        <v>43</v>
      </c>
      <c r="B8" s="32" t="s">
        <v>40</v>
      </c>
    </row>
    <row r="9" spans="1:2" x14ac:dyDescent="0.25">
      <c r="A9" s="33" t="s">
        <v>36</v>
      </c>
      <c r="B9" s="33" t="s">
        <v>33</v>
      </c>
    </row>
    <row r="10" spans="1:2" x14ac:dyDescent="0.25">
      <c r="A10" s="32" t="s">
        <v>48</v>
      </c>
      <c r="B10" s="32" t="s">
        <v>46</v>
      </c>
    </row>
    <row r="11" spans="1:2" x14ac:dyDescent="0.25">
      <c r="A11" s="33" t="s">
        <v>62</v>
      </c>
      <c r="B11" s="33" t="s">
        <v>61</v>
      </c>
    </row>
    <row r="12" spans="1:2" x14ac:dyDescent="0.25">
      <c r="A12" s="32" t="s">
        <v>64</v>
      </c>
      <c r="B12" s="32" t="s">
        <v>63</v>
      </c>
    </row>
    <row r="13" spans="1:2" x14ac:dyDescent="0.25">
      <c r="A13" s="33" t="s">
        <v>50</v>
      </c>
      <c r="B13" s="33" t="s">
        <v>49</v>
      </c>
    </row>
    <row r="14" spans="1:2" x14ac:dyDescent="0.25">
      <c r="A14" s="32" t="s">
        <v>60</v>
      </c>
      <c r="B14" s="32" t="s">
        <v>59</v>
      </c>
    </row>
    <row r="15" spans="1:2" x14ac:dyDescent="0.25">
      <c r="A15" s="33" t="s">
        <v>56</v>
      </c>
      <c r="B15" s="33" t="s">
        <v>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F66E5-D209-4516-A381-C3D50F721EB2}">
  <dimension ref="A1:B15"/>
  <sheetViews>
    <sheetView workbookViewId="0">
      <selection activeCell="J25" sqref="J25"/>
    </sheetView>
  </sheetViews>
  <sheetFormatPr defaultRowHeight="15" x14ac:dyDescent="0.25"/>
  <sheetData>
    <row r="1" spans="1:2" x14ac:dyDescent="0.25">
      <c r="A1" s="34" t="s">
        <v>24</v>
      </c>
      <c r="B1" s="31" t="s">
        <v>31</v>
      </c>
    </row>
    <row r="2" spans="1:2" x14ac:dyDescent="0.25">
      <c r="A2" s="35" t="s">
        <v>37</v>
      </c>
      <c r="B2" s="32">
        <v>91</v>
      </c>
    </row>
    <row r="3" spans="1:2" x14ac:dyDescent="0.25">
      <c r="A3" s="36" t="s">
        <v>57</v>
      </c>
      <c r="B3" s="33">
        <v>89</v>
      </c>
    </row>
    <row r="4" spans="1:2" x14ac:dyDescent="0.25">
      <c r="A4" s="35" t="s">
        <v>65</v>
      </c>
      <c r="B4" s="32">
        <v>98</v>
      </c>
    </row>
    <row r="5" spans="1:2" x14ac:dyDescent="0.25">
      <c r="A5" s="36" t="s">
        <v>51</v>
      </c>
      <c r="B5" s="33">
        <v>89</v>
      </c>
    </row>
    <row r="6" spans="1:2" x14ac:dyDescent="0.25">
      <c r="A6" s="35" t="s">
        <v>44</v>
      </c>
      <c r="B6" s="32">
        <v>79</v>
      </c>
    </row>
    <row r="7" spans="1:2" x14ac:dyDescent="0.25">
      <c r="A7" s="36" t="s">
        <v>53</v>
      </c>
      <c r="B7" s="33">
        <v>96</v>
      </c>
    </row>
    <row r="8" spans="1:2" x14ac:dyDescent="0.25">
      <c r="A8" s="35" t="s">
        <v>40</v>
      </c>
      <c r="B8" s="32">
        <v>88</v>
      </c>
    </row>
    <row r="9" spans="1:2" x14ac:dyDescent="0.25">
      <c r="A9" s="36" t="s">
        <v>33</v>
      </c>
      <c r="B9" s="33">
        <v>99</v>
      </c>
    </row>
    <row r="10" spans="1:2" x14ac:dyDescent="0.25">
      <c r="A10" s="35" t="s">
        <v>46</v>
      </c>
      <c r="B10" s="32">
        <v>96</v>
      </c>
    </row>
    <row r="11" spans="1:2" x14ac:dyDescent="0.25">
      <c r="A11" s="36" t="s">
        <v>61</v>
      </c>
      <c r="B11" s="33">
        <v>87</v>
      </c>
    </row>
    <row r="12" spans="1:2" x14ac:dyDescent="0.25">
      <c r="A12" s="35" t="s">
        <v>63</v>
      </c>
      <c r="B12" s="32">
        <v>85</v>
      </c>
    </row>
    <row r="13" spans="1:2" x14ac:dyDescent="0.25">
      <c r="A13" s="36" t="s">
        <v>49</v>
      </c>
      <c r="B13" s="33">
        <v>80</v>
      </c>
    </row>
    <row r="14" spans="1:2" x14ac:dyDescent="0.25">
      <c r="A14" s="35" t="s">
        <v>59</v>
      </c>
      <c r="B14" s="32">
        <v>77</v>
      </c>
    </row>
    <row r="15" spans="1:2" x14ac:dyDescent="0.25">
      <c r="A15" s="36" t="s">
        <v>55</v>
      </c>
      <c r="B15" s="33">
        <v>92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BEBF-CD87-4FA2-8CC0-52E7821082DB}">
  <dimension ref="A1:H7"/>
  <sheetViews>
    <sheetView workbookViewId="0">
      <selection activeCell="D9" sqref="D9"/>
    </sheetView>
  </sheetViews>
  <sheetFormatPr defaultRowHeight="15" x14ac:dyDescent="0.25"/>
  <cols>
    <col min="2" max="2" width="9.85546875" customWidth="1"/>
    <col min="6" max="7" width="12.5703125" customWidth="1"/>
    <col min="8" max="8" width="11.5703125" customWidth="1"/>
  </cols>
  <sheetData>
    <row r="1" spans="1:8" x14ac:dyDescent="0.25">
      <c r="A1" s="44" t="s">
        <v>78</v>
      </c>
    </row>
    <row r="3" spans="1:8" x14ac:dyDescent="0.25">
      <c r="A3" t="s">
        <v>24</v>
      </c>
      <c r="B3" t="s">
        <v>25</v>
      </c>
      <c r="C3" t="s">
        <v>26</v>
      </c>
      <c r="D3" t="s">
        <v>27</v>
      </c>
      <c r="E3" t="s">
        <v>28</v>
      </c>
      <c r="F3" t="s">
        <v>29</v>
      </c>
      <c r="G3" t="s">
        <v>30</v>
      </c>
      <c r="H3" t="s">
        <v>31</v>
      </c>
    </row>
    <row r="4" spans="1:8" x14ac:dyDescent="0.25">
      <c r="A4" t="s">
        <v>70</v>
      </c>
      <c r="B4" t="s">
        <v>34</v>
      </c>
      <c r="C4">
        <v>15</v>
      </c>
      <c r="D4">
        <v>9</v>
      </c>
      <c r="E4" t="s">
        <v>47</v>
      </c>
      <c r="F4">
        <v>87</v>
      </c>
      <c r="G4">
        <v>89</v>
      </c>
      <c r="H4">
        <v>95</v>
      </c>
    </row>
    <row r="5" spans="1:8" x14ac:dyDescent="0.25">
      <c r="A5" t="s">
        <v>59</v>
      </c>
      <c r="B5" t="s">
        <v>34</v>
      </c>
      <c r="C5">
        <v>16</v>
      </c>
      <c r="D5">
        <v>10</v>
      </c>
      <c r="E5" t="s">
        <v>47</v>
      </c>
      <c r="F5">
        <v>86</v>
      </c>
      <c r="G5">
        <v>81</v>
      </c>
      <c r="H5">
        <v>77</v>
      </c>
    </row>
    <row r="6" spans="1:8" x14ac:dyDescent="0.25">
      <c r="A6" t="s">
        <v>69</v>
      </c>
      <c r="B6" t="s">
        <v>34</v>
      </c>
      <c r="C6">
        <v>11</v>
      </c>
      <c r="D6">
        <v>6</v>
      </c>
      <c r="E6" t="s">
        <v>47</v>
      </c>
      <c r="F6">
        <v>91</v>
      </c>
      <c r="G6">
        <v>81</v>
      </c>
      <c r="H6">
        <v>94</v>
      </c>
    </row>
    <row r="7" spans="1:8" x14ac:dyDescent="0.25">
      <c r="A7" t="s">
        <v>53</v>
      </c>
      <c r="B7" t="s">
        <v>34</v>
      </c>
      <c r="C7">
        <v>15</v>
      </c>
      <c r="D7">
        <v>9</v>
      </c>
      <c r="E7" t="s">
        <v>47</v>
      </c>
      <c r="F7">
        <v>87</v>
      </c>
      <c r="G7">
        <v>89</v>
      </c>
      <c r="H7">
        <v>96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3A507-A997-4CB1-87A1-3E97A833E2CB}">
  <dimension ref="A3:C11"/>
  <sheetViews>
    <sheetView tabSelected="1" workbookViewId="0">
      <selection activeCell="C3" sqref="C3"/>
    </sheetView>
  </sheetViews>
  <sheetFormatPr defaultRowHeight="15" x14ac:dyDescent="0.25"/>
  <cols>
    <col min="1" max="1" width="13.140625" bestFit="1" customWidth="1"/>
    <col min="2" max="2" width="10" bestFit="1" customWidth="1"/>
    <col min="3" max="3" width="16.140625" bestFit="1" customWidth="1"/>
    <col min="4" max="4" width="11.28515625" bestFit="1" customWidth="1"/>
  </cols>
  <sheetData>
    <row r="3" spans="1:3" x14ac:dyDescent="0.25">
      <c r="A3" s="42" t="s">
        <v>28</v>
      </c>
      <c r="B3" s="42" t="s">
        <v>25</v>
      </c>
      <c r="C3" t="s">
        <v>77</v>
      </c>
    </row>
    <row r="4" spans="1:3" x14ac:dyDescent="0.25">
      <c r="A4" s="37" t="s">
        <v>38</v>
      </c>
      <c r="B4" s="37" t="s">
        <v>41</v>
      </c>
      <c r="C4" s="43">
        <v>460</v>
      </c>
    </row>
    <row r="5" spans="1:3" x14ac:dyDescent="0.25">
      <c r="B5" s="37" t="s">
        <v>34</v>
      </c>
      <c r="C5" s="43">
        <v>186</v>
      </c>
    </row>
    <row r="6" spans="1:3" x14ac:dyDescent="0.25">
      <c r="A6" s="37" t="s">
        <v>47</v>
      </c>
      <c r="B6" s="37" t="s">
        <v>41</v>
      </c>
      <c r="C6" s="43">
        <v>194</v>
      </c>
    </row>
    <row r="7" spans="1:3" x14ac:dyDescent="0.25">
      <c r="B7" s="37" t="s">
        <v>34</v>
      </c>
      <c r="C7" s="43">
        <v>362</v>
      </c>
    </row>
    <row r="8" spans="1:3" x14ac:dyDescent="0.25">
      <c r="A8" s="37" t="s">
        <v>42</v>
      </c>
      <c r="B8" s="37" t="s">
        <v>41</v>
      </c>
      <c r="C8" s="43">
        <v>351</v>
      </c>
    </row>
    <row r="9" spans="1:3" x14ac:dyDescent="0.25">
      <c r="B9" s="37" t="s">
        <v>34</v>
      </c>
      <c r="C9" s="43">
        <v>89</v>
      </c>
    </row>
    <row r="10" spans="1:3" x14ac:dyDescent="0.25">
      <c r="A10" s="37" t="s">
        <v>35</v>
      </c>
      <c r="B10" s="37" t="s">
        <v>41</v>
      </c>
      <c r="C10" s="43">
        <v>85</v>
      </c>
    </row>
    <row r="11" spans="1:3" x14ac:dyDescent="0.25">
      <c r="B11" s="37" t="s">
        <v>34</v>
      </c>
      <c r="C11" s="43">
        <v>240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10C0-4853-4463-93F9-5B3B8913591C}">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0314-A756-41DD-9497-848356A8DB31}">
  <dimension ref="A1:H25"/>
  <sheetViews>
    <sheetView workbookViewId="0">
      <selection activeCell="I9" sqref="I9"/>
    </sheetView>
  </sheetViews>
  <sheetFormatPr defaultRowHeight="15" x14ac:dyDescent="0.25"/>
  <cols>
    <col min="1" max="1" width="11.140625" bestFit="1" customWidth="1"/>
    <col min="2" max="2" width="9.140625" customWidth="1"/>
    <col min="3" max="3" width="8.28515625" customWidth="1"/>
    <col min="4" max="4" width="10" customWidth="1"/>
    <col min="5" max="5" width="11.42578125" customWidth="1"/>
    <col min="6" max="6" width="10.5703125" customWidth="1"/>
    <col min="7" max="7" width="12.42578125" customWidth="1"/>
    <col min="8" max="8" width="11.140625" customWidth="1"/>
  </cols>
  <sheetData>
    <row r="1" spans="1:8" x14ac:dyDescent="0.25">
      <c r="A1" t="s">
        <v>68</v>
      </c>
    </row>
    <row r="3" spans="1:8" x14ac:dyDescent="0.25">
      <c r="A3" s="40" t="s">
        <v>24</v>
      </c>
      <c r="B3" s="41" t="s">
        <v>25</v>
      </c>
      <c r="C3" s="41" t="s">
        <v>26</v>
      </c>
      <c r="D3" s="41" t="s">
        <v>27</v>
      </c>
      <c r="E3" s="41" t="s">
        <v>28</v>
      </c>
      <c r="F3" s="41" t="s">
        <v>29</v>
      </c>
      <c r="G3" s="41" t="s">
        <v>30</v>
      </c>
      <c r="H3" s="41" t="s">
        <v>31</v>
      </c>
    </row>
    <row r="4" spans="1:8" x14ac:dyDescent="0.25">
      <c r="A4" s="5" t="s">
        <v>33</v>
      </c>
      <c r="B4" s="4" t="s">
        <v>34</v>
      </c>
      <c r="C4" s="4">
        <v>16</v>
      </c>
      <c r="D4" s="4">
        <v>10</v>
      </c>
      <c r="E4" s="4" t="s">
        <v>35</v>
      </c>
      <c r="F4" s="4">
        <v>84</v>
      </c>
      <c r="G4" s="4">
        <v>79</v>
      </c>
      <c r="H4" s="4">
        <v>81</v>
      </c>
    </row>
    <row r="5" spans="1:8" x14ac:dyDescent="0.25">
      <c r="A5" s="5" t="s">
        <v>37</v>
      </c>
      <c r="B5" s="4" t="s">
        <v>34</v>
      </c>
      <c r="C5" s="4">
        <v>11</v>
      </c>
      <c r="D5" s="4">
        <v>5</v>
      </c>
      <c r="E5" s="4" t="s">
        <v>38</v>
      </c>
      <c r="F5" s="4">
        <v>82</v>
      </c>
      <c r="G5" s="4">
        <v>83</v>
      </c>
      <c r="H5" s="4">
        <v>91</v>
      </c>
    </row>
    <row r="6" spans="1:8" x14ac:dyDescent="0.25">
      <c r="A6" s="5" t="s">
        <v>40</v>
      </c>
      <c r="B6" s="4" t="s">
        <v>41</v>
      </c>
      <c r="C6" s="4">
        <v>15</v>
      </c>
      <c r="D6" s="4">
        <v>8</v>
      </c>
      <c r="E6" s="4" t="s">
        <v>42</v>
      </c>
      <c r="F6" s="4">
        <v>81</v>
      </c>
      <c r="G6" s="4">
        <v>78</v>
      </c>
      <c r="H6" s="4">
        <v>88</v>
      </c>
    </row>
    <row r="7" spans="1:8" x14ac:dyDescent="0.25">
      <c r="A7" s="5" t="s">
        <v>44</v>
      </c>
      <c r="B7" s="4" t="s">
        <v>34</v>
      </c>
      <c r="C7" s="4">
        <v>14</v>
      </c>
      <c r="D7" s="4">
        <v>8</v>
      </c>
      <c r="E7" s="4" t="s">
        <v>35</v>
      </c>
      <c r="F7" s="4">
        <v>70</v>
      </c>
      <c r="G7" s="4">
        <v>75</v>
      </c>
      <c r="H7" s="4">
        <v>79</v>
      </c>
    </row>
    <row r="8" spans="1:8" x14ac:dyDescent="0.25">
      <c r="A8" s="5" t="s">
        <v>46</v>
      </c>
      <c r="B8" s="4" t="s">
        <v>41</v>
      </c>
      <c r="C8" s="4">
        <v>16</v>
      </c>
      <c r="D8" s="4">
        <v>10</v>
      </c>
      <c r="E8" s="4" t="s">
        <v>47</v>
      </c>
      <c r="F8" s="4">
        <v>88</v>
      </c>
      <c r="G8" s="4">
        <v>92</v>
      </c>
      <c r="H8" s="4">
        <v>96</v>
      </c>
    </row>
    <row r="9" spans="1:8" x14ac:dyDescent="0.25">
      <c r="A9" s="5" t="s">
        <v>49</v>
      </c>
      <c r="B9" s="4" t="s">
        <v>34</v>
      </c>
      <c r="C9" s="4">
        <v>16</v>
      </c>
      <c r="D9" s="4">
        <v>10</v>
      </c>
      <c r="E9" s="4" t="s">
        <v>35</v>
      </c>
      <c r="F9" s="4">
        <v>82</v>
      </c>
      <c r="G9" s="4">
        <v>81</v>
      </c>
      <c r="H9" s="4">
        <v>80</v>
      </c>
    </row>
    <row r="10" spans="1:8" x14ac:dyDescent="0.25">
      <c r="A10" s="5" t="s">
        <v>51</v>
      </c>
      <c r="B10" s="4" t="s">
        <v>41</v>
      </c>
      <c r="C10" s="4">
        <v>14</v>
      </c>
      <c r="D10" s="4">
        <v>8</v>
      </c>
      <c r="E10" s="4" t="s">
        <v>38</v>
      </c>
      <c r="F10" s="4">
        <v>90</v>
      </c>
      <c r="G10" s="4">
        <v>86</v>
      </c>
      <c r="H10" s="4">
        <v>89</v>
      </c>
    </row>
    <row r="11" spans="1:8" x14ac:dyDescent="0.25">
      <c r="A11" s="5" t="s">
        <v>53</v>
      </c>
      <c r="B11" s="4" t="s">
        <v>34</v>
      </c>
      <c r="C11" s="4">
        <v>15</v>
      </c>
      <c r="D11" s="4">
        <v>9</v>
      </c>
      <c r="E11" s="4" t="s">
        <v>47</v>
      </c>
      <c r="F11" s="4">
        <v>87</v>
      </c>
      <c r="G11" s="4">
        <v>89</v>
      </c>
      <c r="H11" s="4">
        <v>96</v>
      </c>
    </row>
    <row r="12" spans="1:8" x14ac:dyDescent="0.25">
      <c r="A12" s="5" t="s">
        <v>55</v>
      </c>
      <c r="B12" s="4" t="s">
        <v>41</v>
      </c>
      <c r="C12" s="4">
        <v>17</v>
      </c>
      <c r="D12" s="4">
        <v>10</v>
      </c>
      <c r="E12" s="4" t="s">
        <v>38</v>
      </c>
      <c r="F12" s="4">
        <v>70</v>
      </c>
      <c r="G12" s="4">
        <v>90</v>
      </c>
      <c r="H12" s="4">
        <v>92</v>
      </c>
    </row>
    <row r="13" spans="1:8" x14ac:dyDescent="0.25">
      <c r="A13" s="5" t="s">
        <v>57</v>
      </c>
      <c r="B13" s="4" t="s">
        <v>34</v>
      </c>
      <c r="C13" s="4">
        <v>12</v>
      </c>
      <c r="D13" s="4">
        <v>7</v>
      </c>
      <c r="E13" s="4" t="s">
        <v>42</v>
      </c>
      <c r="F13" s="4">
        <v>86</v>
      </c>
      <c r="G13" s="4">
        <v>92</v>
      </c>
      <c r="H13" s="4">
        <v>89</v>
      </c>
    </row>
    <row r="14" spans="1:8" x14ac:dyDescent="0.25">
      <c r="A14" s="5" t="s">
        <v>69</v>
      </c>
      <c r="B14" s="4" t="s">
        <v>34</v>
      </c>
      <c r="C14" s="4">
        <v>11</v>
      </c>
      <c r="D14" s="4">
        <v>6</v>
      </c>
      <c r="E14" s="4" t="s">
        <v>47</v>
      </c>
      <c r="F14" s="4">
        <v>91</v>
      </c>
      <c r="G14" s="4">
        <v>81</v>
      </c>
      <c r="H14" s="4">
        <v>94</v>
      </c>
    </row>
    <row r="15" spans="1:8" x14ac:dyDescent="0.25">
      <c r="A15" s="5" t="s">
        <v>59</v>
      </c>
      <c r="B15" s="4" t="s">
        <v>34</v>
      </c>
      <c r="C15" s="4">
        <v>16</v>
      </c>
      <c r="D15" s="4">
        <v>10</v>
      </c>
      <c r="E15" s="4" t="s">
        <v>47</v>
      </c>
      <c r="F15" s="4">
        <v>86</v>
      </c>
      <c r="G15" s="4">
        <v>81</v>
      </c>
      <c r="H15" s="4">
        <v>77</v>
      </c>
    </row>
    <row r="16" spans="1:8" x14ac:dyDescent="0.25">
      <c r="A16" s="5" t="s">
        <v>70</v>
      </c>
      <c r="B16" s="4" t="s">
        <v>34</v>
      </c>
      <c r="C16" s="4">
        <v>15</v>
      </c>
      <c r="D16" s="4">
        <v>9</v>
      </c>
      <c r="E16" s="4" t="s">
        <v>47</v>
      </c>
      <c r="F16" s="4">
        <v>87</v>
      </c>
      <c r="G16" s="4">
        <v>89</v>
      </c>
      <c r="H16" s="4">
        <v>95</v>
      </c>
    </row>
    <row r="17" spans="1:8" x14ac:dyDescent="0.25">
      <c r="A17" s="5" t="s">
        <v>71</v>
      </c>
      <c r="B17" s="4" t="s">
        <v>41</v>
      </c>
      <c r="C17" s="4">
        <v>15</v>
      </c>
      <c r="D17" s="4">
        <v>8</v>
      </c>
      <c r="E17" s="4" t="s">
        <v>38</v>
      </c>
      <c r="F17" s="4">
        <v>81</v>
      </c>
      <c r="G17" s="4">
        <v>90</v>
      </c>
      <c r="H17" s="4">
        <v>95</v>
      </c>
    </row>
    <row r="18" spans="1:8" x14ac:dyDescent="0.25">
      <c r="A18" s="5" t="s">
        <v>72</v>
      </c>
      <c r="B18" s="4" t="s">
        <v>41</v>
      </c>
      <c r="C18" s="4">
        <v>17</v>
      </c>
      <c r="D18" s="4">
        <v>10</v>
      </c>
      <c r="E18" s="4" t="s">
        <v>38</v>
      </c>
      <c r="F18" s="4">
        <v>70</v>
      </c>
      <c r="G18" s="4">
        <v>90</v>
      </c>
      <c r="H18" s="4">
        <v>92</v>
      </c>
    </row>
    <row r="19" spans="1:8" x14ac:dyDescent="0.25">
      <c r="A19" s="5" t="s">
        <v>73</v>
      </c>
      <c r="B19" s="4" t="s">
        <v>41</v>
      </c>
      <c r="C19" s="4">
        <v>12</v>
      </c>
      <c r="D19" s="4">
        <v>7</v>
      </c>
      <c r="E19" s="4" t="s">
        <v>42</v>
      </c>
      <c r="F19" s="4">
        <v>86</v>
      </c>
      <c r="G19" s="4">
        <v>92</v>
      </c>
      <c r="H19" s="4">
        <v>89</v>
      </c>
    </row>
    <row r="20" spans="1:8" x14ac:dyDescent="0.25">
      <c r="A20" s="5" t="s">
        <v>74</v>
      </c>
      <c r="B20" s="4" t="s">
        <v>41</v>
      </c>
      <c r="C20" s="4">
        <v>16</v>
      </c>
      <c r="D20" s="4">
        <v>10</v>
      </c>
      <c r="E20" s="4" t="s">
        <v>42</v>
      </c>
      <c r="F20" s="4">
        <v>81</v>
      </c>
      <c r="G20" s="4">
        <v>80</v>
      </c>
      <c r="H20" s="4">
        <v>87</v>
      </c>
    </row>
    <row r="21" spans="1:8" x14ac:dyDescent="0.25">
      <c r="A21" s="5" t="s">
        <v>61</v>
      </c>
      <c r="B21" s="4" t="s">
        <v>41</v>
      </c>
      <c r="C21" s="4">
        <v>16</v>
      </c>
      <c r="D21" s="4">
        <v>10</v>
      </c>
      <c r="E21" s="4" t="s">
        <v>42</v>
      </c>
      <c r="F21" s="4">
        <v>81</v>
      </c>
      <c r="G21" s="4">
        <v>80</v>
      </c>
      <c r="H21" s="4">
        <v>87</v>
      </c>
    </row>
    <row r="22" spans="1:8" x14ac:dyDescent="0.25">
      <c r="A22" s="5" t="s">
        <v>75</v>
      </c>
      <c r="B22" s="4" t="s">
        <v>34</v>
      </c>
      <c r="C22" s="4">
        <v>15</v>
      </c>
      <c r="D22" s="4">
        <v>9</v>
      </c>
      <c r="E22" s="4" t="s">
        <v>38</v>
      </c>
      <c r="F22" s="4">
        <v>87</v>
      </c>
      <c r="G22" s="4">
        <v>89</v>
      </c>
      <c r="H22" s="4">
        <v>95</v>
      </c>
    </row>
    <row r="23" spans="1:8" x14ac:dyDescent="0.25">
      <c r="A23" s="5" t="s">
        <v>76</v>
      </c>
      <c r="B23" s="4" t="s">
        <v>41</v>
      </c>
      <c r="C23" s="4">
        <v>11</v>
      </c>
      <c r="D23" s="4">
        <v>6</v>
      </c>
      <c r="E23" s="4" t="s">
        <v>38</v>
      </c>
      <c r="F23" s="4">
        <v>88</v>
      </c>
      <c r="G23" s="4">
        <v>90</v>
      </c>
      <c r="H23" s="4">
        <v>92</v>
      </c>
    </row>
    <row r="24" spans="1:8" x14ac:dyDescent="0.25">
      <c r="A24" s="5" t="s">
        <v>63</v>
      </c>
      <c r="B24" s="4" t="s">
        <v>41</v>
      </c>
      <c r="C24" s="4">
        <v>16</v>
      </c>
      <c r="D24" s="4">
        <v>10</v>
      </c>
      <c r="E24" s="4" t="s">
        <v>35</v>
      </c>
      <c r="F24" s="4">
        <v>70</v>
      </c>
      <c r="G24" s="4">
        <v>87</v>
      </c>
      <c r="H24" s="4">
        <v>85</v>
      </c>
    </row>
    <row r="25" spans="1:8" x14ac:dyDescent="0.25">
      <c r="A25" s="5" t="s">
        <v>65</v>
      </c>
      <c r="B25" s="4" t="s">
        <v>41</v>
      </c>
      <c r="C25" s="4">
        <v>14</v>
      </c>
      <c r="D25" s="4">
        <v>8</v>
      </c>
      <c r="E25" s="4" t="s">
        <v>47</v>
      </c>
      <c r="F25" s="4">
        <v>91</v>
      </c>
      <c r="G25" s="4">
        <v>96</v>
      </c>
      <c r="H25" s="4">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Day 1</vt:lpstr>
      <vt:lpstr>Dat 2</vt:lpstr>
      <vt:lpstr>Sheet2</vt:lpstr>
      <vt:lpstr>Sheet5</vt:lpstr>
      <vt:lpstr>Sheet3</vt:lpstr>
      <vt:lpstr>Sheet4</vt:lpstr>
      <vt:lpstr>Detail1</vt:lpstr>
      <vt:lpstr>Sheet7</vt:lpstr>
      <vt:lpstr>Sheet8</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Prabuddha Bhalerao</dc:creator>
  <cp:lastModifiedBy>Prabuddha Bhalerao</cp:lastModifiedBy>
  <dcterms:created xsi:type="dcterms:W3CDTF">2026-01-14T14:57:29Z</dcterms:created>
  <dcterms:modified xsi:type="dcterms:W3CDTF">2026-01-25T11:56:46Z</dcterms:modified>
</cp:coreProperties>
</file>